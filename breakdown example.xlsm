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13" codeName="{A63ED3A1-9429-3D75-F2AA-CA7E51A8F3A1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liangquchen/Documents/GitHub/Walmart-Production-Planning-Inventory-Report-Shipping-Report-Production-Report/"/>
    </mc:Choice>
  </mc:AlternateContent>
  <xr:revisionPtr revIDLastSave="0" documentId="13_ncr:1_{C2EC9BCA-9E56-CE4D-935C-98E9A3EA2FA0}" xr6:coauthVersionLast="47" xr6:coauthVersionMax="47" xr10:uidLastSave="{00000000-0000-0000-0000-000000000000}"/>
  <bookViews>
    <workbookView xWindow="9600" yWindow="1240" windowWidth="24000" windowHeight="12660" tabRatio="823" xr2:uid="{00000000-000D-0000-FFFF-FFFF00000000}"/>
  </bookViews>
  <sheets>
    <sheet name="M10B Order" sheetId="16" r:id="rId1"/>
    <sheet name="M10B" sheetId="17" r:id="rId2"/>
    <sheet name="中纺国际O" sheetId="8" r:id="rId3"/>
    <sheet name="中纺国际Z" sheetId="9" r:id="rId4"/>
    <sheet name="荟宁" sheetId="10" r:id="rId5"/>
    <sheet name="张家港沙印X" sheetId="11" r:id="rId6"/>
    <sheet name="张家港沙印G" sheetId="19" r:id="rId7"/>
    <sheet name="浙江百业" sheetId="13" r:id="rId8"/>
    <sheet name="MrRajan" sheetId="23" r:id="rId9"/>
    <sheet name="domestic" sheetId="24" r:id="rId10"/>
  </sheets>
  <definedNames>
    <definedName name="_xlnm._FilterDatabase" localSheetId="1" hidden="1">M10B!$A$1:$X$694</definedName>
    <definedName name="_xlnm._FilterDatabase" localSheetId="0" hidden="1">'M10B Order'!$A$1:$H$826</definedName>
    <definedName name="_xlnm._FilterDatabase" localSheetId="2" hidden="1">中纺国际O!$A$2:$F$154</definedName>
    <definedName name="_xlnm._FilterDatabase" localSheetId="3" hidden="1">中纺国际Z!$A$2:$F$513</definedName>
    <definedName name="_xlnm._FilterDatabase" localSheetId="4" hidden="1">荟宁!$A$2:$F$122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19" i="16" l="1"/>
  <c r="F20" i="16"/>
  <c r="F13" i="16"/>
  <c r="F827" i="16" l="1"/>
  <c r="G827" i="16" s="1"/>
  <c r="F566" i="9" s="1"/>
  <c r="F828" i="16"/>
  <c r="G828" i="16" s="1"/>
  <c r="F565" i="9" s="1"/>
  <c r="F829" i="16"/>
  <c r="G829" i="16" s="1"/>
  <c r="F564" i="9" s="1"/>
  <c r="F830" i="16"/>
  <c r="G830" i="16" s="1"/>
  <c r="F563" i="9" s="1"/>
  <c r="F831" i="16"/>
  <c r="G831" i="16" s="1"/>
  <c r="F562" i="9" s="1"/>
  <c r="F832" i="16"/>
  <c r="G832" i="16" s="1"/>
  <c r="F561" i="9" s="1"/>
  <c r="F833" i="16"/>
  <c r="G833" i="16" s="1"/>
  <c r="F560" i="9" s="1"/>
  <c r="F834" i="16"/>
  <c r="G834" i="16" s="1"/>
  <c r="F559" i="9" s="1"/>
  <c r="F835" i="16"/>
  <c r="G835" i="16" s="1"/>
  <c r="F558" i="9" s="1"/>
  <c r="F836" i="16"/>
  <c r="G836" i="16" s="1"/>
  <c r="F557" i="9" s="1"/>
  <c r="F837" i="16"/>
  <c r="G837" i="16" s="1"/>
  <c r="F556" i="9" s="1"/>
  <c r="F838" i="16"/>
  <c r="G838" i="16" s="1"/>
  <c r="F555" i="9" s="1"/>
  <c r="F839" i="16"/>
  <c r="G839" i="16" s="1"/>
  <c r="F554" i="9" s="1"/>
  <c r="F840" i="16"/>
  <c r="G840" i="16" s="1"/>
  <c r="F553" i="9" s="1"/>
  <c r="F841" i="16"/>
  <c r="G841" i="16" s="1"/>
  <c r="F552" i="9" s="1"/>
  <c r="F842" i="16"/>
  <c r="G842" i="16" s="1"/>
  <c r="F551" i="9" s="1"/>
  <c r="F843" i="16"/>
  <c r="F844" i="16"/>
  <c r="F845" i="16"/>
  <c r="G845" i="16" s="1"/>
  <c r="F548" i="9" s="1"/>
  <c r="F846" i="16"/>
  <c r="G846" i="16" s="1"/>
  <c r="F547" i="9" s="1"/>
  <c r="F847" i="16"/>
  <c r="G847" i="16" s="1"/>
  <c r="F546" i="9" s="1"/>
  <c r="F848" i="16"/>
  <c r="G848" i="16" s="1"/>
  <c r="F545" i="9" s="1"/>
  <c r="F849" i="16"/>
  <c r="G849" i="16" s="1"/>
  <c r="F544" i="9" s="1"/>
  <c r="F850" i="16"/>
  <c r="G850" i="16" s="1"/>
  <c r="F543" i="9" s="1"/>
  <c r="F851" i="16"/>
  <c r="G851" i="16" s="1"/>
  <c r="F542" i="9" s="1"/>
  <c r="F852" i="16"/>
  <c r="G852" i="16" s="1"/>
  <c r="F541" i="9" s="1"/>
  <c r="F853" i="16"/>
  <c r="G853" i="16" s="1"/>
  <c r="F540" i="9" s="1"/>
  <c r="F854" i="16"/>
  <c r="G854" i="16" s="1"/>
  <c r="F539" i="9" s="1"/>
  <c r="F855" i="16"/>
  <c r="G855" i="16" s="1"/>
  <c r="F538" i="9" s="1"/>
  <c r="F856" i="16"/>
  <c r="G856" i="16" s="1"/>
  <c r="F537" i="9" s="1"/>
  <c r="F857" i="16"/>
  <c r="G857" i="16" s="1"/>
  <c r="F536" i="9" s="1"/>
  <c r="F858" i="16"/>
  <c r="G858" i="16" s="1"/>
  <c r="F535" i="9" s="1"/>
  <c r="F859" i="16"/>
  <c r="F860" i="16"/>
  <c r="G860" i="16" s="1"/>
  <c r="F533" i="9" s="1"/>
  <c r="F861" i="16"/>
  <c r="G861" i="16" s="1"/>
  <c r="F532" i="9" s="1"/>
  <c r="F862" i="16"/>
  <c r="G862" i="16" s="1"/>
  <c r="F531" i="9" s="1"/>
  <c r="F863" i="16"/>
  <c r="G863" i="16" s="1"/>
  <c r="F530" i="9" s="1"/>
  <c r="F864" i="16"/>
  <c r="G864" i="16" s="1"/>
  <c r="F529" i="9" s="1"/>
  <c r="F865" i="16"/>
  <c r="G865" i="16" s="1"/>
  <c r="F528" i="9" s="1"/>
  <c r="F866" i="16"/>
  <c r="G866" i="16" s="1"/>
  <c r="F527" i="9" s="1"/>
  <c r="F867" i="16"/>
  <c r="G867" i="16" s="1"/>
  <c r="F526" i="9" s="1"/>
  <c r="F868" i="16"/>
  <c r="G868" i="16" s="1"/>
  <c r="F525" i="9" s="1"/>
  <c r="F869" i="16"/>
  <c r="G869" i="16" s="1"/>
  <c r="F524" i="9" s="1"/>
  <c r="F870" i="16"/>
  <c r="G870" i="16" s="1"/>
  <c r="F523" i="9" s="1"/>
  <c r="F871" i="16"/>
  <c r="G871" i="16" s="1"/>
  <c r="F522" i="9" s="1"/>
  <c r="F872" i="16"/>
  <c r="G872" i="16" s="1"/>
  <c r="F521" i="9" s="1"/>
  <c r="F873" i="16"/>
  <c r="F874" i="16"/>
  <c r="G874" i="16" s="1"/>
  <c r="F519" i="9" s="1"/>
  <c r="F875" i="16"/>
  <c r="G875" i="16" s="1"/>
  <c r="F518" i="9" s="1"/>
  <c r="F876" i="16"/>
  <c r="F877" i="16"/>
  <c r="G877" i="16" s="1"/>
  <c r="F516" i="9" s="1"/>
  <c r="F878" i="16"/>
  <c r="G878" i="16" s="1"/>
  <c r="F125" i="10" s="1"/>
  <c r="F879" i="16"/>
  <c r="G879" i="16" s="1"/>
  <c r="F124" i="10" s="1"/>
  <c r="F880" i="16"/>
  <c r="G880" i="16" s="1"/>
  <c r="F123" i="10" s="1"/>
  <c r="F881" i="16"/>
  <c r="G881" i="16" s="1"/>
  <c r="F882" i="16"/>
  <c r="G882" i="16" s="1"/>
  <c r="F515" i="9" s="1"/>
  <c r="F883" i="16"/>
  <c r="G883" i="16" s="1"/>
  <c r="F589" i="9" s="1"/>
  <c r="F884" i="16"/>
  <c r="G884" i="16" s="1"/>
  <c r="F588" i="9" s="1"/>
  <c r="F885" i="16"/>
  <c r="G885" i="16" s="1"/>
  <c r="F587" i="9" s="1"/>
  <c r="F886" i="16"/>
  <c r="G886" i="16" s="1"/>
  <c r="F586" i="9" s="1"/>
  <c r="F887" i="16"/>
  <c r="G887" i="16" s="1"/>
  <c r="F585" i="9" s="1"/>
  <c r="F888" i="16"/>
  <c r="G888" i="16" s="1"/>
  <c r="F584" i="9" s="1"/>
  <c r="F889" i="16"/>
  <c r="F890" i="16"/>
  <c r="G890" i="16" s="1"/>
  <c r="F582" i="9" s="1"/>
  <c r="F891" i="16"/>
  <c r="G891" i="16" s="1"/>
  <c r="F581" i="9" s="1"/>
  <c r="F892" i="16"/>
  <c r="G892" i="16" s="1"/>
  <c r="F580" i="9" s="1"/>
  <c r="F893" i="16"/>
  <c r="G893" i="16" s="1"/>
  <c r="F579" i="9" s="1"/>
  <c r="F894" i="16"/>
  <c r="G894" i="16" s="1"/>
  <c r="F578" i="9" s="1"/>
  <c r="F895" i="16"/>
  <c r="G895" i="16" s="1"/>
  <c r="F577" i="9" s="1"/>
  <c r="F896" i="16"/>
  <c r="G896" i="16" s="1"/>
  <c r="F576" i="9" s="1"/>
  <c r="F897" i="16"/>
  <c r="G897" i="16" s="1"/>
  <c r="F575" i="9" s="1"/>
  <c r="F898" i="16"/>
  <c r="G898" i="16" s="1"/>
  <c r="F574" i="9" s="1"/>
  <c r="F899" i="16"/>
  <c r="G899" i="16" s="1"/>
  <c r="F573" i="9" s="1"/>
  <c r="F900" i="16"/>
  <c r="G900" i="16" s="1"/>
  <c r="F572" i="9" s="1"/>
  <c r="F901" i="16"/>
  <c r="G901" i="16" s="1"/>
  <c r="F571" i="9" s="1"/>
  <c r="F902" i="16"/>
  <c r="G902" i="16" s="1"/>
  <c r="F570" i="9" s="1"/>
  <c r="F903" i="16"/>
  <c r="G903" i="16" s="1"/>
  <c r="F569" i="9" s="1"/>
  <c r="F904" i="16"/>
  <c r="G904" i="16" s="1"/>
  <c r="F568" i="9" s="1"/>
  <c r="F905" i="16"/>
  <c r="F3" i="16"/>
  <c r="F4" i="16"/>
  <c r="F5" i="16"/>
  <c r="F6" i="16"/>
  <c r="F7" i="16"/>
  <c r="F8" i="16"/>
  <c r="F9" i="16"/>
  <c r="F10" i="16"/>
  <c r="F11" i="16"/>
  <c r="F12" i="16"/>
  <c r="F14" i="16"/>
  <c r="F15" i="16"/>
  <c r="F16" i="16"/>
  <c r="F17" i="16"/>
  <c r="F18" i="16"/>
  <c r="F21" i="16"/>
  <c r="F22" i="16"/>
  <c r="F23" i="16"/>
  <c r="F24" i="16"/>
  <c r="F25" i="16"/>
  <c r="F26" i="16"/>
  <c r="F27" i="16"/>
  <c r="F28" i="16"/>
  <c r="F29" i="16"/>
  <c r="F30" i="16"/>
  <c r="F31" i="16"/>
  <c r="F32" i="16"/>
  <c r="F33" i="16"/>
  <c r="F34" i="16"/>
  <c r="F35" i="16"/>
  <c r="F36" i="16"/>
  <c r="F37" i="16"/>
  <c r="F38" i="16"/>
  <c r="F39" i="16"/>
  <c r="F40" i="16"/>
  <c r="F41" i="16"/>
  <c r="F42" i="16"/>
  <c r="F43" i="16"/>
  <c r="F44" i="16"/>
  <c r="F45" i="16"/>
  <c r="F46" i="16"/>
  <c r="F47" i="16"/>
  <c r="F48" i="16"/>
  <c r="F49" i="16"/>
  <c r="F50" i="16"/>
  <c r="F51" i="16"/>
  <c r="F52" i="16"/>
  <c r="F53" i="16"/>
  <c r="F54" i="16"/>
  <c r="F55" i="16"/>
  <c r="F56" i="16"/>
  <c r="F57" i="16"/>
  <c r="F58" i="16"/>
  <c r="F59" i="16"/>
  <c r="F60" i="16"/>
  <c r="F61" i="16"/>
  <c r="F62" i="16"/>
  <c r="F63" i="16"/>
  <c r="F64" i="16"/>
  <c r="F65" i="16"/>
  <c r="F66" i="16"/>
  <c r="F67" i="16"/>
  <c r="F68" i="16"/>
  <c r="F69" i="16"/>
  <c r="F70" i="16"/>
  <c r="F71" i="16"/>
  <c r="F72" i="16"/>
  <c r="F73" i="16"/>
  <c r="F74" i="16"/>
  <c r="F75" i="16"/>
  <c r="F76" i="16"/>
  <c r="F77" i="16"/>
  <c r="F78" i="16"/>
  <c r="F79" i="16"/>
  <c r="F80" i="16"/>
  <c r="F81" i="16"/>
  <c r="F82" i="16"/>
  <c r="F83" i="16"/>
  <c r="F84" i="16"/>
  <c r="F85" i="16"/>
  <c r="F86" i="16"/>
  <c r="F87" i="16"/>
  <c r="F88" i="16"/>
  <c r="F89" i="16"/>
  <c r="F90" i="16"/>
  <c r="F91" i="16"/>
  <c r="F92" i="16"/>
  <c r="F93" i="16"/>
  <c r="F94" i="16"/>
  <c r="F95" i="16"/>
  <c r="F96" i="16"/>
  <c r="F97" i="16"/>
  <c r="F98" i="16"/>
  <c r="F99" i="16"/>
  <c r="F100" i="16"/>
  <c r="F101" i="16"/>
  <c r="F102" i="16"/>
  <c r="F103" i="16"/>
  <c r="F104" i="16"/>
  <c r="F105" i="16"/>
  <c r="F106" i="16"/>
  <c r="F107" i="16"/>
  <c r="F108" i="16"/>
  <c r="F109" i="16"/>
  <c r="F110" i="16"/>
  <c r="F111" i="16"/>
  <c r="F112" i="16"/>
  <c r="F113" i="16"/>
  <c r="F114" i="16"/>
  <c r="F115" i="16"/>
  <c r="F116" i="16"/>
  <c r="F117" i="16"/>
  <c r="F118" i="16"/>
  <c r="F119" i="16"/>
  <c r="F120" i="16"/>
  <c r="F121" i="16"/>
  <c r="F122" i="16"/>
  <c r="F123" i="16"/>
  <c r="F124" i="16"/>
  <c r="F125" i="16"/>
  <c r="F126" i="16"/>
  <c r="F127" i="16"/>
  <c r="F128" i="16"/>
  <c r="F129" i="16"/>
  <c r="F130" i="16"/>
  <c r="F131" i="16"/>
  <c r="F132" i="16"/>
  <c r="F133" i="16"/>
  <c r="F134" i="16"/>
  <c r="F135" i="16"/>
  <c r="F136" i="16"/>
  <c r="F137" i="16"/>
  <c r="F138" i="16"/>
  <c r="F139" i="16"/>
  <c r="F140" i="16"/>
  <c r="F141" i="16"/>
  <c r="F142" i="16"/>
  <c r="F143" i="16"/>
  <c r="F144" i="16"/>
  <c r="F145" i="16"/>
  <c r="F146" i="16"/>
  <c r="F147" i="16"/>
  <c r="F148" i="16"/>
  <c r="F149" i="16"/>
  <c r="F150" i="16"/>
  <c r="F151" i="16"/>
  <c r="F152" i="16"/>
  <c r="F153" i="16"/>
  <c r="F154" i="16"/>
  <c r="F155" i="16"/>
  <c r="F156" i="16"/>
  <c r="F157" i="16"/>
  <c r="F158" i="16"/>
  <c r="F159" i="16"/>
  <c r="F160" i="16"/>
  <c r="F161" i="16"/>
  <c r="F162" i="16"/>
  <c r="F163" i="16"/>
  <c r="F164" i="16"/>
  <c r="F165" i="16"/>
  <c r="F166" i="16"/>
  <c r="F167" i="16"/>
  <c r="F168" i="16"/>
  <c r="F169" i="16"/>
  <c r="F170" i="16"/>
  <c r="F171" i="16"/>
  <c r="F172" i="16"/>
  <c r="F173" i="16"/>
  <c r="F174" i="16"/>
  <c r="F175" i="16"/>
  <c r="F176" i="16"/>
  <c r="F177" i="16"/>
  <c r="F178" i="16"/>
  <c r="F179" i="16"/>
  <c r="F180" i="16"/>
  <c r="F181" i="16"/>
  <c r="F182" i="16"/>
  <c r="F183" i="16"/>
  <c r="F184" i="16"/>
  <c r="F185" i="16"/>
  <c r="F186" i="16"/>
  <c r="F187" i="16"/>
  <c r="F188" i="16"/>
  <c r="F189" i="16"/>
  <c r="F190" i="16"/>
  <c r="F191" i="16"/>
  <c r="F192" i="16"/>
  <c r="F193" i="16"/>
  <c r="F194" i="16"/>
  <c r="F195" i="16"/>
  <c r="F196" i="16"/>
  <c r="F197" i="16"/>
  <c r="F198" i="16"/>
  <c r="F199" i="16"/>
  <c r="F200" i="16"/>
  <c r="F201" i="16"/>
  <c r="F202" i="16"/>
  <c r="F203" i="16"/>
  <c r="F204" i="16"/>
  <c r="F205" i="16"/>
  <c r="F206" i="16"/>
  <c r="F207" i="16"/>
  <c r="F208" i="16"/>
  <c r="F209" i="16"/>
  <c r="F210" i="16"/>
  <c r="F211" i="16"/>
  <c r="F212" i="16"/>
  <c r="F213" i="16"/>
  <c r="F214" i="16"/>
  <c r="F215" i="16"/>
  <c r="F216" i="16"/>
  <c r="F217" i="16"/>
  <c r="F218" i="16"/>
  <c r="F219" i="16"/>
  <c r="F220" i="16"/>
  <c r="F221" i="16"/>
  <c r="F222" i="16"/>
  <c r="F223" i="16"/>
  <c r="F224" i="16"/>
  <c r="F225" i="16"/>
  <c r="F226" i="16"/>
  <c r="F227" i="16"/>
  <c r="F228" i="16"/>
  <c r="F229" i="16"/>
  <c r="F230" i="16"/>
  <c r="F231" i="16"/>
  <c r="F232" i="16"/>
  <c r="F233" i="16"/>
  <c r="F234" i="16"/>
  <c r="F235" i="16"/>
  <c r="F236" i="16"/>
  <c r="F237" i="16"/>
  <c r="F238" i="16"/>
  <c r="F239" i="16"/>
  <c r="F240" i="16"/>
  <c r="F241" i="16"/>
  <c r="F242" i="16"/>
  <c r="F243" i="16"/>
  <c r="F244" i="16"/>
  <c r="F245" i="16"/>
  <c r="F246" i="16"/>
  <c r="F247" i="16"/>
  <c r="F248" i="16"/>
  <c r="F249" i="16"/>
  <c r="F250" i="16"/>
  <c r="F251" i="16"/>
  <c r="F252" i="16"/>
  <c r="F253" i="16"/>
  <c r="F254" i="16"/>
  <c r="F255" i="16"/>
  <c r="F256" i="16"/>
  <c r="F257" i="16"/>
  <c r="F258" i="16"/>
  <c r="F259" i="16"/>
  <c r="F260" i="16"/>
  <c r="F261" i="16"/>
  <c r="F262" i="16"/>
  <c r="F263" i="16"/>
  <c r="F264" i="16"/>
  <c r="F265" i="16"/>
  <c r="F266" i="16"/>
  <c r="F267" i="16"/>
  <c r="F268" i="16"/>
  <c r="F269" i="16"/>
  <c r="F270" i="16"/>
  <c r="F271" i="16"/>
  <c r="F272" i="16"/>
  <c r="F273" i="16"/>
  <c r="F274" i="16"/>
  <c r="F275" i="16"/>
  <c r="F276" i="16"/>
  <c r="F277" i="16"/>
  <c r="F278" i="16"/>
  <c r="F279" i="16"/>
  <c r="F280" i="16"/>
  <c r="F281" i="16"/>
  <c r="F282" i="16"/>
  <c r="F283" i="16"/>
  <c r="F284" i="16"/>
  <c r="F285" i="16"/>
  <c r="F286" i="16"/>
  <c r="F287" i="16"/>
  <c r="F288" i="16"/>
  <c r="F289" i="16"/>
  <c r="F290" i="16"/>
  <c r="X638" i="17" s="1"/>
  <c r="F291" i="16"/>
  <c r="F292" i="16"/>
  <c r="F293" i="16"/>
  <c r="F294" i="16"/>
  <c r="F295" i="16"/>
  <c r="F296" i="16"/>
  <c r="F297" i="16"/>
  <c r="F298" i="16"/>
  <c r="F299" i="16"/>
  <c r="F300" i="16"/>
  <c r="F301" i="16"/>
  <c r="F302" i="16"/>
  <c r="F303" i="16"/>
  <c r="F304" i="16"/>
  <c r="F305" i="16"/>
  <c r="F306" i="16"/>
  <c r="F307" i="16"/>
  <c r="F308" i="16"/>
  <c r="F309" i="16"/>
  <c r="F310" i="16"/>
  <c r="F311" i="16"/>
  <c r="F312" i="16"/>
  <c r="F313" i="16"/>
  <c r="F314" i="16"/>
  <c r="F315" i="16"/>
  <c r="F316" i="16"/>
  <c r="F317" i="16"/>
  <c r="F318" i="16"/>
  <c r="F319" i="16"/>
  <c r="F320" i="16"/>
  <c r="F321" i="16"/>
  <c r="F322" i="16"/>
  <c r="F323" i="16"/>
  <c r="F324" i="16"/>
  <c r="F325" i="16"/>
  <c r="F326" i="16"/>
  <c r="F327" i="16"/>
  <c r="F328" i="16"/>
  <c r="F329" i="16"/>
  <c r="F330" i="16"/>
  <c r="F331" i="16"/>
  <c r="F332" i="16"/>
  <c r="F333" i="16"/>
  <c r="F334" i="16"/>
  <c r="F335" i="16"/>
  <c r="F336" i="16"/>
  <c r="F337" i="16"/>
  <c r="F338" i="16"/>
  <c r="F339" i="16"/>
  <c r="F340" i="16"/>
  <c r="F341" i="16"/>
  <c r="F342" i="16"/>
  <c r="F343" i="16"/>
  <c r="F344" i="16"/>
  <c r="F345" i="16"/>
  <c r="F346" i="16"/>
  <c r="F347" i="16"/>
  <c r="F348" i="16"/>
  <c r="F349" i="16"/>
  <c r="F350" i="16"/>
  <c r="F351" i="16"/>
  <c r="F352" i="16"/>
  <c r="F353" i="16"/>
  <c r="F354" i="16"/>
  <c r="F355" i="16"/>
  <c r="X617" i="17" s="1"/>
  <c r="F356" i="16"/>
  <c r="F357" i="16"/>
  <c r="F358" i="16"/>
  <c r="F359" i="16"/>
  <c r="F360" i="16"/>
  <c r="F361" i="16"/>
  <c r="F362" i="16"/>
  <c r="F363" i="16"/>
  <c r="F364" i="16"/>
  <c r="X618" i="17" s="1"/>
  <c r="F365" i="16"/>
  <c r="F366" i="16"/>
  <c r="F367" i="16"/>
  <c r="F368" i="16"/>
  <c r="F369" i="16"/>
  <c r="F370" i="16"/>
  <c r="F371" i="16"/>
  <c r="F372" i="16"/>
  <c r="F373" i="16"/>
  <c r="F374" i="16"/>
  <c r="F375" i="16"/>
  <c r="F376" i="16"/>
  <c r="X623" i="17" s="1"/>
  <c r="F377" i="16"/>
  <c r="F378" i="16"/>
  <c r="F379" i="16"/>
  <c r="F380" i="16"/>
  <c r="F381" i="16"/>
  <c r="F382" i="16"/>
  <c r="F383" i="16"/>
  <c r="F384" i="16"/>
  <c r="F385" i="16"/>
  <c r="F386" i="16"/>
  <c r="F387" i="16"/>
  <c r="F388" i="16"/>
  <c r="F389" i="16"/>
  <c r="F390" i="16"/>
  <c r="F391" i="16"/>
  <c r="F392" i="16"/>
  <c r="F393" i="16"/>
  <c r="F394" i="16"/>
  <c r="F395" i="16"/>
  <c r="F396" i="16"/>
  <c r="F397" i="16"/>
  <c r="F398" i="16"/>
  <c r="F399" i="16"/>
  <c r="F400" i="16"/>
  <c r="F401" i="16"/>
  <c r="F402" i="16"/>
  <c r="F403" i="16"/>
  <c r="F404" i="16"/>
  <c r="F405" i="16"/>
  <c r="F406" i="16"/>
  <c r="F407" i="16"/>
  <c r="F408" i="16"/>
  <c r="F409" i="16"/>
  <c r="F410" i="16"/>
  <c r="F411" i="16"/>
  <c r="F412" i="16"/>
  <c r="F413" i="16"/>
  <c r="F414" i="16"/>
  <c r="F415" i="16"/>
  <c r="F416" i="16"/>
  <c r="F417" i="16"/>
  <c r="F418" i="16"/>
  <c r="F419" i="16"/>
  <c r="F420" i="16"/>
  <c r="F421" i="16"/>
  <c r="F422" i="16"/>
  <c r="F423" i="16"/>
  <c r="X613" i="17" s="1"/>
  <c r="F424" i="16"/>
  <c r="F425" i="16"/>
  <c r="F426" i="16"/>
  <c r="F427" i="16"/>
  <c r="F428" i="16"/>
  <c r="F429" i="16"/>
  <c r="F430" i="16"/>
  <c r="F431" i="16"/>
  <c r="F432" i="16"/>
  <c r="F433" i="16"/>
  <c r="F434" i="16"/>
  <c r="F435" i="16"/>
  <c r="F436" i="16"/>
  <c r="F437" i="16"/>
  <c r="F438" i="16"/>
  <c r="F439" i="16"/>
  <c r="F440" i="16"/>
  <c r="F441" i="16"/>
  <c r="F442" i="16"/>
  <c r="F443" i="16"/>
  <c r="F444" i="16"/>
  <c r="F445" i="16"/>
  <c r="F446" i="16"/>
  <c r="F447" i="16"/>
  <c r="F448" i="16"/>
  <c r="F449" i="16"/>
  <c r="F450" i="16"/>
  <c r="F451" i="16"/>
  <c r="F452" i="16"/>
  <c r="F453" i="16"/>
  <c r="F454" i="16"/>
  <c r="F455" i="16"/>
  <c r="F456" i="16"/>
  <c r="F457" i="16"/>
  <c r="F458" i="16"/>
  <c r="F459" i="16"/>
  <c r="F460" i="16"/>
  <c r="F461" i="16"/>
  <c r="F462" i="16"/>
  <c r="F463" i="16"/>
  <c r="F464" i="16"/>
  <c r="F465" i="16"/>
  <c r="F466" i="16"/>
  <c r="F467" i="16"/>
  <c r="F468" i="16"/>
  <c r="F469" i="16"/>
  <c r="F470" i="16"/>
  <c r="F471" i="16"/>
  <c r="F472" i="16"/>
  <c r="F473" i="16"/>
  <c r="F474" i="16"/>
  <c r="F475" i="16"/>
  <c r="F476" i="16"/>
  <c r="F477" i="16"/>
  <c r="F478" i="16"/>
  <c r="F479" i="16"/>
  <c r="F480" i="16"/>
  <c r="F481" i="16"/>
  <c r="F482" i="16"/>
  <c r="F483" i="16"/>
  <c r="F484" i="16"/>
  <c r="F485" i="16"/>
  <c r="F486" i="16"/>
  <c r="F487" i="16"/>
  <c r="F488" i="16"/>
  <c r="F489" i="16"/>
  <c r="F490" i="16"/>
  <c r="F491" i="16"/>
  <c r="F492" i="16"/>
  <c r="F493" i="16"/>
  <c r="F494" i="16"/>
  <c r="F495" i="16"/>
  <c r="F496" i="16"/>
  <c r="F497" i="16"/>
  <c r="F498" i="16"/>
  <c r="F499" i="16"/>
  <c r="F500" i="16"/>
  <c r="F501" i="16"/>
  <c r="F502" i="16"/>
  <c r="F503" i="16"/>
  <c r="F504" i="16"/>
  <c r="F505" i="16"/>
  <c r="F506" i="16"/>
  <c r="F507" i="16"/>
  <c r="F508" i="16"/>
  <c r="F509" i="16"/>
  <c r="F510" i="16"/>
  <c r="F511" i="16"/>
  <c r="F512" i="16"/>
  <c r="F513" i="16"/>
  <c r="F514" i="16"/>
  <c r="F515" i="16"/>
  <c r="F516" i="16"/>
  <c r="F517" i="16"/>
  <c r="F518" i="16"/>
  <c r="F519" i="16"/>
  <c r="F520" i="16"/>
  <c r="F521" i="16"/>
  <c r="F522" i="16"/>
  <c r="F523" i="16"/>
  <c r="F524" i="16"/>
  <c r="F525" i="16"/>
  <c r="F526" i="16"/>
  <c r="F527" i="16"/>
  <c r="F528" i="16"/>
  <c r="F529" i="16"/>
  <c r="F530" i="16"/>
  <c r="F531" i="16"/>
  <c r="F532" i="16"/>
  <c r="F533" i="16"/>
  <c r="F534" i="16"/>
  <c r="F535" i="16"/>
  <c r="F536" i="16"/>
  <c r="F537" i="16"/>
  <c r="F538" i="16"/>
  <c r="F539" i="16"/>
  <c r="F540" i="16"/>
  <c r="F541" i="16"/>
  <c r="F542" i="16"/>
  <c r="F543" i="16"/>
  <c r="F544" i="16"/>
  <c r="F545" i="16"/>
  <c r="F546" i="16"/>
  <c r="F547" i="16"/>
  <c r="F548" i="16"/>
  <c r="F549" i="16"/>
  <c r="F550" i="16"/>
  <c r="X8" i="17" s="1"/>
  <c r="F551" i="16"/>
  <c r="F552" i="16"/>
  <c r="F553" i="16"/>
  <c r="F554" i="16"/>
  <c r="F555" i="16"/>
  <c r="F556" i="16"/>
  <c r="F557" i="16"/>
  <c r="F558" i="16"/>
  <c r="F559" i="16"/>
  <c r="F560" i="16"/>
  <c r="F561" i="16"/>
  <c r="F562" i="16"/>
  <c r="F563" i="16"/>
  <c r="F564" i="16"/>
  <c r="F565" i="16"/>
  <c r="F566" i="16"/>
  <c r="F567" i="16"/>
  <c r="F568" i="16"/>
  <c r="F569" i="16"/>
  <c r="F570" i="16"/>
  <c r="F571" i="16"/>
  <c r="F572" i="16"/>
  <c r="F573" i="16"/>
  <c r="F574" i="16"/>
  <c r="F575" i="16"/>
  <c r="F576" i="16"/>
  <c r="F577" i="16"/>
  <c r="F578" i="16"/>
  <c r="F579" i="16"/>
  <c r="F580" i="16"/>
  <c r="F581" i="16"/>
  <c r="F582" i="16"/>
  <c r="F583" i="16"/>
  <c r="F584" i="16"/>
  <c r="F585" i="16"/>
  <c r="F586" i="16"/>
  <c r="F587" i="16"/>
  <c r="F588" i="16"/>
  <c r="F589" i="16"/>
  <c r="F590" i="16"/>
  <c r="F591" i="16"/>
  <c r="F592" i="16"/>
  <c r="F593" i="16"/>
  <c r="F594" i="16"/>
  <c r="F595" i="16"/>
  <c r="F596" i="16"/>
  <c r="F597" i="16"/>
  <c r="F598" i="16"/>
  <c r="F599" i="16"/>
  <c r="F600" i="16"/>
  <c r="F601" i="16"/>
  <c r="F602" i="16"/>
  <c r="F603" i="16"/>
  <c r="F604" i="16"/>
  <c r="F605" i="16"/>
  <c r="F606" i="16"/>
  <c r="F607" i="16"/>
  <c r="F608" i="16"/>
  <c r="F609" i="16"/>
  <c r="F610" i="16"/>
  <c r="F611" i="16"/>
  <c r="F612" i="16"/>
  <c r="F613" i="16"/>
  <c r="F614" i="16"/>
  <c r="F615" i="16"/>
  <c r="F616" i="16"/>
  <c r="F617" i="16"/>
  <c r="F618" i="16"/>
  <c r="F619" i="16"/>
  <c r="F620" i="16"/>
  <c r="F621" i="16"/>
  <c r="F622" i="16"/>
  <c r="F623" i="16"/>
  <c r="F624" i="16"/>
  <c r="F625" i="16"/>
  <c r="F626" i="16"/>
  <c r="F627" i="16"/>
  <c r="F628" i="16"/>
  <c r="F629" i="16"/>
  <c r="F630" i="16"/>
  <c r="F631" i="16"/>
  <c r="F632" i="16"/>
  <c r="F633" i="16"/>
  <c r="F634" i="16"/>
  <c r="F635" i="16"/>
  <c r="F636" i="16"/>
  <c r="F637" i="16"/>
  <c r="F638" i="16"/>
  <c r="F639" i="16"/>
  <c r="F640" i="16"/>
  <c r="F641" i="16"/>
  <c r="F642" i="16"/>
  <c r="F643" i="16"/>
  <c r="F644" i="16"/>
  <c r="F645" i="16"/>
  <c r="F646" i="16"/>
  <c r="F647" i="16"/>
  <c r="F648" i="16"/>
  <c r="F649" i="16"/>
  <c r="F650" i="16"/>
  <c r="F651" i="16"/>
  <c r="F652" i="16"/>
  <c r="F653" i="16"/>
  <c r="F654" i="16"/>
  <c r="F655" i="16"/>
  <c r="F656" i="16"/>
  <c r="X49" i="17" s="1"/>
  <c r="F657" i="16"/>
  <c r="F658" i="16"/>
  <c r="F659" i="16"/>
  <c r="F660" i="16"/>
  <c r="F661" i="16"/>
  <c r="F662" i="16"/>
  <c r="F663" i="16"/>
  <c r="F664" i="16"/>
  <c r="F665" i="16"/>
  <c r="F666" i="16"/>
  <c r="F667" i="16"/>
  <c r="F668" i="16"/>
  <c r="F669" i="16"/>
  <c r="F670" i="16"/>
  <c r="F671" i="16"/>
  <c r="F672" i="16"/>
  <c r="F673" i="16"/>
  <c r="F674" i="16"/>
  <c r="F675" i="16"/>
  <c r="F676" i="16"/>
  <c r="F677" i="16"/>
  <c r="F678" i="16"/>
  <c r="F679" i="16"/>
  <c r="F680" i="16"/>
  <c r="F681" i="16"/>
  <c r="F682" i="16"/>
  <c r="F683" i="16"/>
  <c r="F684" i="16"/>
  <c r="F685" i="16"/>
  <c r="F686" i="16"/>
  <c r="F687" i="16"/>
  <c r="F688" i="16"/>
  <c r="F689" i="16"/>
  <c r="F690" i="16"/>
  <c r="F691" i="16"/>
  <c r="F692" i="16"/>
  <c r="F693" i="16"/>
  <c r="F694" i="16"/>
  <c r="F695" i="16"/>
  <c r="F696" i="16"/>
  <c r="F697" i="16"/>
  <c r="F698" i="16"/>
  <c r="F699" i="16"/>
  <c r="F700" i="16"/>
  <c r="F701" i="16"/>
  <c r="F702" i="16"/>
  <c r="F703" i="16"/>
  <c r="F704" i="16"/>
  <c r="F705" i="16"/>
  <c r="F706" i="16"/>
  <c r="F707" i="16"/>
  <c r="F708" i="16"/>
  <c r="F709" i="16"/>
  <c r="F710" i="16"/>
  <c r="F711" i="16"/>
  <c r="F712" i="16"/>
  <c r="F713" i="16"/>
  <c r="F714" i="16"/>
  <c r="F715" i="16"/>
  <c r="F716" i="16"/>
  <c r="F717" i="16"/>
  <c r="F718" i="16"/>
  <c r="F719" i="16"/>
  <c r="F720" i="16"/>
  <c r="F721" i="16"/>
  <c r="F722" i="16"/>
  <c r="F723" i="16"/>
  <c r="F724" i="16"/>
  <c r="F725" i="16"/>
  <c r="F726" i="16"/>
  <c r="F727" i="16"/>
  <c r="F728" i="16"/>
  <c r="F729" i="16"/>
  <c r="F730" i="16"/>
  <c r="F731" i="16"/>
  <c r="F732" i="16"/>
  <c r="F733" i="16"/>
  <c r="F734" i="16"/>
  <c r="F735" i="16"/>
  <c r="F736" i="16"/>
  <c r="F737" i="16"/>
  <c r="F738" i="16"/>
  <c r="F739" i="16"/>
  <c r="F740" i="16"/>
  <c r="F741" i="16"/>
  <c r="F742" i="16"/>
  <c r="F743" i="16"/>
  <c r="F744" i="16"/>
  <c r="F745" i="16"/>
  <c r="F746" i="16"/>
  <c r="F747" i="16"/>
  <c r="F748" i="16"/>
  <c r="F749" i="16"/>
  <c r="F750" i="16"/>
  <c r="F751" i="16"/>
  <c r="F752" i="16"/>
  <c r="F753" i="16"/>
  <c r="F754" i="16"/>
  <c r="F755" i="16"/>
  <c r="F756" i="16"/>
  <c r="F757" i="16"/>
  <c r="F758" i="16"/>
  <c r="F759" i="16"/>
  <c r="F760" i="16"/>
  <c r="F761" i="16"/>
  <c r="F762" i="16"/>
  <c r="F763" i="16"/>
  <c r="F764" i="16"/>
  <c r="F765" i="16"/>
  <c r="F766" i="16"/>
  <c r="F767" i="16"/>
  <c r="F768" i="16"/>
  <c r="F769" i="16"/>
  <c r="F770" i="16"/>
  <c r="F771" i="16"/>
  <c r="F772" i="16"/>
  <c r="F773" i="16"/>
  <c r="F774" i="16"/>
  <c r="F775" i="16"/>
  <c r="F776" i="16"/>
  <c r="F777" i="16"/>
  <c r="F778" i="16"/>
  <c r="F779" i="16"/>
  <c r="F780" i="16"/>
  <c r="F781" i="16"/>
  <c r="F782" i="16"/>
  <c r="F783" i="16"/>
  <c r="F784" i="16"/>
  <c r="F785" i="16"/>
  <c r="X610" i="17" s="1"/>
  <c r="F786" i="16"/>
  <c r="F787" i="16"/>
  <c r="F788" i="16"/>
  <c r="F789" i="16"/>
  <c r="F790" i="16"/>
  <c r="F791" i="16"/>
  <c r="F792" i="16"/>
  <c r="F793" i="16"/>
  <c r="F794" i="16"/>
  <c r="F795" i="16"/>
  <c r="F796" i="16"/>
  <c r="F797" i="16"/>
  <c r="F798" i="16"/>
  <c r="F799" i="16"/>
  <c r="F800" i="16"/>
  <c r="F801" i="16"/>
  <c r="F802" i="16"/>
  <c r="F803" i="16"/>
  <c r="F804" i="16"/>
  <c r="F805" i="16"/>
  <c r="F806" i="16"/>
  <c r="F807" i="16"/>
  <c r="F808" i="16"/>
  <c r="F809" i="16"/>
  <c r="F810" i="16"/>
  <c r="F811" i="16"/>
  <c r="F812" i="16"/>
  <c r="F813" i="16"/>
  <c r="F814" i="16"/>
  <c r="F815" i="16"/>
  <c r="F816" i="16"/>
  <c r="F817" i="16"/>
  <c r="F818" i="16"/>
  <c r="F819" i="16"/>
  <c r="F820" i="16"/>
  <c r="F821" i="16"/>
  <c r="F822" i="16"/>
  <c r="F823" i="16"/>
  <c r="F824" i="16"/>
  <c r="F825" i="16"/>
  <c r="F826" i="16"/>
  <c r="F2" i="16"/>
  <c r="X612" i="17" l="1"/>
  <c r="X324" i="17"/>
  <c r="X607" i="17"/>
  <c r="X109" i="17"/>
  <c r="X409" i="17"/>
  <c r="X466" i="17"/>
  <c r="X54" i="17"/>
  <c r="X121" i="17"/>
  <c r="X53" i="17"/>
  <c r="X22" i="17"/>
  <c r="X598" i="17"/>
  <c r="X602" i="17"/>
  <c r="X216" i="17"/>
  <c r="X223" i="17"/>
  <c r="X655" i="17"/>
  <c r="X604" i="17"/>
  <c r="X335" i="17"/>
  <c r="X605" i="17"/>
  <c r="X625" i="17"/>
  <c r="X222" i="17"/>
  <c r="X233" i="17"/>
  <c r="X226" i="17"/>
  <c r="X212" i="17"/>
  <c r="X599" i="17"/>
  <c r="X596" i="17"/>
  <c r="X630" i="17"/>
  <c r="X622" i="17"/>
  <c r="X398" i="17"/>
  <c r="X59" i="17"/>
  <c r="X48" i="17"/>
  <c r="X235" i="17"/>
  <c r="X221" i="17"/>
  <c r="X597" i="17"/>
  <c r="X631" i="17"/>
  <c r="X301" i="17"/>
  <c r="X231" i="17"/>
  <c r="X220" i="17"/>
  <c r="X210" i="17"/>
  <c r="X338" i="17"/>
  <c r="X209" i="17"/>
  <c r="X594" i="17"/>
  <c r="X592" i="17"/>
  <c r="X601" i="17"/>
  <c r="X351" i="17"/>
  <c r="X542" i="17"/>
  <c r="X279" i="17"/>
  <c r="X541" i="17"/>
  <c r="X624" i="17"/>
  <c r="X346" i="17"/>
  <c r="X46" i="17"/>
  <c r="X101" i="17"/>
  <c r="X534" i="17"/>
  <c r="X535" i="17"/>
  <c r="X2" i="17"/>
  <c r="X57" i="17"/>
  <c r="X234" i="17"/>
  <c r="X344" i="17"/>
  <c r="X55" i="17"/>
  <c r="X133" i="17"/>
  <c r="X471" i="17"/>
  <c r="X399" i="17"/>
  <c r="X123" i="17"/>
  <c r="X497" i="17"/>
  <c r="X649" i="17"/>
  <c r="X342" i="17"/>
  <c r="X85" i="17"/>
  <c r="X355" i="17"/>
  <c r="X67" i="17"/>
  <c r="X345" i="17"/>
  <c r="X61" i="17"/>
  <c r="X423" i="17"/>
  <c r="X608" i="17"/>
  <c r="X87" i="17"/>
  <c r="X106" i="17"/>
  <c r="X432" i="17"/>
  <c r="X681" i="17"/>
  <c r="X410" i="17"/>
  <c r="X444" i="17"/>
  <c r="X303" i="17"/>
  <c r="X96" i="17"/>
  <c r="X241" i="17"/>
  <c r="X107" i="17"/>
  <c r="X533" i="17"/>
  <c r="X354" i="17"/>
  <c r="X289" i="17"/>
  <c r="X122" i="17"/>
  <c r="X646" i="17"/>
  <c r="X204" i="17"/>
  <c r="X112" i="17"/>
  <c r="X110" i="17"/>
  <c r="X419" i="17"/>
  <c r="X442" i="17"/>
  <c r="X486" i="17"/>
  <c r="X495" i="17"/>
  <c r="X532" i="17"/>
  <c r="X232" i="17"/>
  <c r="X459" i="17"/>
  <c r="X441" i="17"/>
  <c r="X90" i="17"/>
  <c r="X665" i="17"/>
  <c r="X230" i="17"/>
  <c r="X350" i="17"/>
  <c r="X154" i="17"/>
  <c r="X621" i="17"/>
  <c r="X408" i="17"/>
  <c r="X240" i="17"/>
  <c r="X531" i="17"/>
  <c r="X306" i="17"/>
  <c r="X236" i="17"/>
  <c r="X620" i="17"/>
  <c r="X88" i="17"/>
  <c r="X537" i="17"/>
  <c r="X473" i="17"/>
  <c r="X420" i="17"/>
  <c r="X237" i="17"/>
  <c r="X357" i="17"/>
  <c r="X3" i="17"/>
  <c r="X509" i="17"/>
  <c r="X359" i="17"/>
  <c r="X10" i="17"/>
  <c r="X614" i="17"/>
  <c r="X526" i="17"/>
  <c r="X507" i="17"/>
  <c r="X553" i="17"/>
  <c r="X489" i="17"/>
  <c r="X148" i="17"/>
  <c r="X366" i="17"/>
  <c r="X130" i="17"/>
  <c r="X452" i="17"/>
  <c r="X418" i="17"/>
  <c r="X305" i="17"/>
  <c r="X414" i="17"/>
  <c r="X300" i="17"/>
  <c r="X540" i="17"/>
  <c r="X445" i="17"/>
  <c r="X358" i="17"/>
  <c r="X317" i="17"/>
  <c r="X406" i="17"/>
  <c r="X468" i="17"/>
  <c r="X455" i="17"/>
  <c r="X314" i="17"/>
  <c r="X525" i="17"/>
  <c r="X680" i="17"/>
  <c r="X313" i="17"/>
  <c r="X389" i="17"/>
  <c r="X609" i="17"/>
  <c r="X239" i="17"/>
  <c r="X514" i="17"/>
  <c r="X291" i="17"/>
  <c r="X126" i="17"/>
  <c r="X307" i="17"/>
  <c r="X310" i="17"/>
  <c r="X290" i="17"/>
  <c r="X569" i="17"/>
  <c r="X560" i="17"/>
  <c r="X124" i="17"/>
  <c r="X153" i="17"/>
  <c r="X309" i="17"/>
  <c r="X120" i="17"/>
  <c r="X69" i="17"/>
  <c r="X284" i="17"/>
  <c r="X407" i="17"/>
  <c r="X405" i="17"/>
  <c r="X104" i="17"/>
  <c r="X543" i="17"/>
  <c r="X450" i="17"/>
  <c r="X499" i="17"/>
  <c r="X566" i="17"/>
  <c r="X693" i="17"/>
  <c r="X673" i="17"/>
  <c r="X651" i="17"/>
  <c r="X108" i="17"/>
  <c r="X369" i="17"/>
  <c r="X297" i="17"/>
  <c r="X60" i="17"/>
  <c r="X229" i="17"/>
  <c r="X402" i="17"/>
  <c r="X447" i="17"/>
  <c r="X299" i="17"/>
  <c r="X80" i="17"/>
  <c r="X411" i="17"/>
  <c r="X451" i="17"/>
  <c r="X238" i="17"/>
  <c r="X694" i="17"/>
  <c r="X356" i="17"/>
  <c r="X567" i="17"/>
  <c r="X561" i="17"/>
  <c r="X650" i="17"/>
  <c r="X321" i="17"/>
  <c r="X304" i="17"/>
  <c r="X508" i="17"/>
  <c r="X140" i="17"/>
  <c r="X282" i="17"/>
  <c r="X670" i="17"/>
  <c r="X146" i="17"/>
  <c r="X11" i="17"/>
  <c r="X551" i="17"/>
  <c r="X558" i="17"/>
  <c r="X689" i="17"/>
  <c r="X139" i="17"/>
  <c r="X74" i="17"/>
  <c r="X593" i="17"/>
  <c r="X488" i="17"/>
  <c r="X563" i="17"/>
  <c r="X679" i="17"/>
  <c r="X457" i="17"/>
  <c r="X20" i="17"/>
  <c r="X312" i="17"/>
  <c r="X145" i="17"/>
  <c r="X562" i="17"/>
  <c r="X641" i="17"/>
  <c r="X687" i="17"/>
  <c r="X666" i="17"/>
  <c r="X482" i="17"/>
  <c r="X513" i="17"/>
  <c r="X382" i="17"/>
  <c r="X372" i="17"/>
  <c r="X632" i="17"/>
  <c r="X318" i="17"/>
  <c r="X428" i="17"/>
  <c r="X456" i="17"/>
  <c r="X98" i="17"/>
  <c r="X548" i="17"/>
  <c r="X71" i="17"/>
  <c r="X333" i="17"/>
  <c r="X319" i="17"/>
  <c r="X295" i="17"/>
  <c r="X629" i="17"/>
  <c r="X606" i="17"/>
  <c r="X397" i="17"/>
  <c r="X375" i="17"/>
  <c r="X523" i="17"/>
  <c r="X458" i="17"/>
  <c r="X219" i="17"/>
  <c r="X50" i="17"/>
  <c r="X520" i="17"/>
  <c r="X288" i="17"/>
  <c r="X658" i="17"/>
  <c r="X381" i="17"/>
  <c r="X58" i="17"/>
  <c r="X51" i="17"/>
  <c r="X294" i="17"/>
  <c r="X32" i="17"/>
  <c r="X243" i="17"/>
  <c r="X615" i="17"/>
  <c r="X386" i="17"/>
  <c r="X384" i="17"/>
  <c r="X218" i="17"/>
  <c r="X352" i="17"/>
  <c r="X311" i="17"/>
  <c r="X506" i="17"/>
  <c r="X494" i="17"/>
  <c r="X287" i="17"/>
  <c r="X73" i="17"/>
  <c r="X293" i="17"/>
  <c r="X628" i="17"/>
  <c r="X242" i="17"/>
  <c r="X539" i="17"/>
  <c r="X510" i="17"/>
  <c r="X395" i="17"/>
  <c r="X353" i="17"/>
  <c r="X44" i="17"/>
  <c r="X302" i="17"/>
  <c r="X538" i="17"/>
  <c r="X438" i="17"/>
  <c r="X42" i="17"/>
  <c r="X217" i="17"/>
  <c r="X505" i="17"/>
  <c r="X286" i="17"/>
  <c r="X194" i="17"/>
  <c r="X559" i="17"/>
  <c r="X72" i="17"/>
  <c r="X362" i="17"/>
  <c r="X52" i="17"/>
  <c r="X292" i="17"/>
  <c r="X247" i="17"/>
  <c r="X626" i="17"/>
  <c r="X627" i="17"/>
  <c r="X611" i="17"/>
  <c r="X595" i="17"/>
  <c r="X642" i="17"/>
  <c r="X547" i="17"/>
  <c r="X65" i="17"/>
  <c r="X296" i="17"/>
  <c r="X246" i="17"/>
  <c r="X62" i="17"/>
  <c r="X371" i="17"/>
  <c r="X267" i="17"/>
  <c r="X56" i="17"/>
  <c r="X517" i="17"/>
  <c r="X493" i="17"/>
  <c r="X91" i="17"/>
  <c r="X228" i="17"/>
  <c r="X105" i="17"/>
  <c r="X492" i="17"/>
  <c r="X207" i="17"/>
  <c r="X33" i="17"/>
  <c r="X396" i="17"/>
  <c r="X27" i="17"/>
  <c r="X603" i="17"/>
  <c r="G873" i="16"/>
  <c r="F520" i="9" s="1"/>
  <c r="X401" i="17"/>
  <c r="X111" i="17"/>
  <c r="X298" i="17"/>
  <c r="X225" i="17"/>
  <c r="X285" i="17"/>
  <c r="X308" i="17"/>
  <c r="X227" i="17"/>
  <c r="X341" i="17"/>
  <c r="X327" i="17"/>
  <c r="X192" i="17"/>
  <c r="X477" i="17"/>
  <c r="X391" i="17"/>
  <c r="X376" i="17"/>
  <c r="X340" i="17"/>
  <c r="X326" i="17"/>
  <c r="X191" i="17"/>
  <c r="X600" i="17"/>
  <c r="X114" i="17"/>
  <c r="X224" i="17"/>
  <c r="X211" i="17"/>
  <c r="X385" i="17"/>
  <c r="X484" i="17"/>
  <c r="X549" i="17"/>
  <c r="X368" i="17"/>
  <c r="X339" i="17"/>
  <c r="X325" i="17"/>
  <c r="X283" i="17"/>
  <c r="X16" i="17"/>
  <c r="X619" i="17"/>
  <c r="X443" i="17"/>
  <c r="X383" i="17"/>
  <c r="X4" i="17"/>
  <c r="X662" i="17"/>
  <c r="X481" i="17"/>
  <c r="X374" i="17"/>
  <c r="X336" i="17"/>
  <c r="X322" i="17"/>
  <c r="X281" i="17"/>
  <c r="X616" i="17"/>
  <c r="X661" i="17"/>
  <c r="X373" i="17"/>
  <c r="X29" i="17"/>
  <c r="X692" i="17"/>
  <c r="X431" i="17"/>
  <c r="X691" i="17"/>
  <c r="X664" i="17"/>
  <c r="X367" i="17"/>
  <c r="X453" i="17"/>
  <c r="X429" i="17"/>
  <c r="X417" i="17"/>
  <c r="X343" i="17"/>
  <c r="X524" i="17"/>
  <c r="X512" i="17"/>
  <c r="X554" i="17"/>
  <c r="X487" i="17"/>
  <c r="X201" i="17"/>
  <c r="X261" i="17"/>
  <c r="X578" i="17"/>
  <c r="X588" i="17"/>
  <c r="X690" i="17"/>
  <c r="X678" i="17"/>
  <c r="X663" i="17"/>
  <c r="X648" i="17"/>
  <c r="X390" i="17"/>
  <c r="X75" i="17"/>
  <c r="X70" i="17"/>
  <c r="X337" i="17"/>
  <c r="X323" i="17"/>
  <c r="X203" i="17"/>
  <c r="X263" i="17"/>
  <c r="X677" i="17"/>
  <c r="X415" i="17"/>
  <c r="X440" i="17"/>
  <c r="X426" i="17"/>
  <c r="X474" i="17"/>
  <c r="X522" i="17"/>
  <c r="X198" i="17"/>
  <c r="X258" i="17"/>
  <c r="X580" i="17"/>
  <c r="X590" i="17"/>
  <c r="X144" i="17"/>
  <c r="X142" i="17"/>
  <c r="X675" i="17"/>
  <c r="X660" i="17"/>
  <c r="X476" i="17"/>
  <c r="X365" i="17"/>
  <c r="X334" i="17"/>
  <c r="X200" i="17"/>
  <c r="X260" i="17"/>
  <c r="X427" i="17"/>
  <c r="X674" i="17"/>
  <c r="X425" i="17"/>
  <c r="X152" i="17"/>
  <c r="X196" i="17"/>
  <c r="X256" i="17"/>
  <c r="X576" i="17"/>
  <c r="X586" i="17"/>
  <c r="X571" i="17"/>
  <c r="X582" i="17"/>
  <c r="X138" i="17"/>
  <c r="X636" i="17"/>
  <c r="X634" i="17"/>
  <c r="X475" i="17"/>
  <c r="X363" i="17"/>
  <c r="X94" i="17"/>
  <c r="X137" i="17"/>
  <c r="X472" i="17"/>
  <c r="X676" i="17"/>
  <c r="X47" i="17"/>
  <c r="X131" i="17"/>
  <c r="X519" i="17"/>
  <c r="X195" i="17"/>
  <c r="X255" i="17"/>
  <c r="X570" i="17"/>
  <c r="X643" i="17"/>
  <c r="X143" i="17"/>
  <c r="X141" i="17"/>
  <c r="X657" i="17"/>
  <c r="X635" i="17"/>
  <c r="X633" i="17"/>
  <c r="X380" i="17"/>
  <c r="X63" i="17"/>
  <c r="X332" i="17"/>
  <c r="X572" i="17"/>
  <c r="X583" i="17"/>
  <c r="X546" i="17"/>
  <c r="X637" i="17"/>
  <c r="X469" i="17"/>
  <c r="X424" i="17"/>
  <c r="X125" i="17"/>
  <c r="X151" i="17"/>
  <c r="X518" i="17"/>
  <c r="X552" i="17"/>
  <c r="X147" i="17"/>
  <c r="X686" i="17"/>
  <c r="X672" i="17"/>
  <c r="X656" i="17"/>
  <c r="X99" i="17"/>
  <c r="X480" i="17"/>
  <c r="X76" i="17"/>
  <c r="X331" i="17"/>
  <c r="X132" i="17"/>
  <c r="X470" i="17"/>
  <c r="X97" i="17"/>
  <c r="X127" i="17"/>
  <c r="X394" i="17"/>
  <c r="X462" i="17"/>
  <c r="X504" i="17"/>
  <c r="X193" i="17"/>
  <c r="X254" i="17"/>
  <c r="X568" i="17"/>
  <c r="X565" i="17"/>
  <c r="X685" i="17"/>
  <c r="X671" i="17"/>
  <c r="X479" i="17"/>
  <c r="X68" i="17"/>
  <c r="X361" i="17"/>
  <c r="X330" i="17"/>
  <c r="X416" i="17"/>
  <c r="X581" i="17"/>
  <c r="X591" i="17"/>
  <c r="X84" i="17"/>
  <c r="X521" i="17"/>
  <c r="X579" i="17"/>
  <c r="X589" i="17"/>
  <c r="X393" i="17"/>
  <c r="X43" i="17"/>
  <c r="X103" i="17"/>
  <c r="X564" i="17"/>
  <c r="X550" i="17"/>
  <c r="X64" i="17"/>
  <c r="X38" i="17"/>
  <c r="X277" i="17"/>
  <c r="X199" i="17"/>
  <c r="X259" i="17"/>
  <c r="X66" i="17"/>
  <c r="X403" i="17"/>
  <c r="X93" i="17"/>
  <c r="X688" i="17"/>
  <c r="X364" i="17"/>
  <c r="X113" i="17"/>
  <c r="X128" i="17"/>
  <c r="X89" i="17"/>
  <c r="X461" i="17"/>
  <c r="X45" i="17"/>
  <c r="X555" i="17"/>
  <c r="X155" i="17"/>
  <c r="X150" i="17"/>
  <c r="X40" i="17"/>
  <c r="X536" i="17"/>
  <c r="X95" i="17"/>
  <c r="X498" i="17"/>
  <c r="X202" i="17"/>
  <c r="X262" i="17"/>
  <c r="X511" i="17"/>
  <c r="X136" i="17"/>
  <c r="X496" i="17"/>
  <c r="X659" i="17"/>
  <c r="X118" i="17"/>
  <c r="X92" i="17"/>
  <c r="X467" i="17"/>
  <c r="X392" i="17"/>
  <c r="X41" i="17"/>
  <c r="X135" i="17"/>
  <c r="X436" i="17"/>
  <c r="X215" i="17"/>
  <c r="X503" i="17"/>
  <c r="X465" i="17"/>
  <c r="X430" i="17"/>
  <c r="X454" i="17"/>
  <c r="X577" i="17"/>
  <c r="X587" i="17"/>
  <c r="X197" i="17"/>
  <c r="X257" i="17"/>
  <c r="X439" i="17"/>
  <c r="X460" i="17"/>
  <c r="X117" i="17"/>
  <c r="X437" i="17"/>
  <c r="X647" i="17"/>
  <c r="X545" i="17"/>
  <c r="X449" i="17"/>
  <c r="X208" i="17"/>
  <c r="X329" i="17"/>
  <c r="X530" i="17"/>
  <c r="X435" i="17"/>
  <c r="X183" i="17"/>
  <c r="X161" i="17"/>
  <c r="X37" i="17"/>
  <c r="X266" i="17"/>
  <c r="X182" i="17"/>
  <c r="X160" i="17"/>
  <c r="X328" i="17"/>
  <c r="X276" i="17"/>
  <c r="X265" i="17"/>
  <c r="X181" i="17"/>
  <c r="X176" i="17"/>
  <c r="X169" i="17"/>
  <c r="X159" i="17"/>
  <c r="X249" i="17"/>
  <c r="G843" i="16"/>
  <c r="F550" i="9" s="1"/>
  <c r="G859" i="16"/>
  <c r="F534" i="9" s="1"/>
  <c r="X81" i="17"/>
  <c r="X214" i="17"/>
  <c r="X645" i="17"/>
  <c r="X349" i="17"/>
  <c r="X529" i="17"/>
  <c r="X502" i="17"/>
  <c r="X575" i="17"/>
  <c r="X557" i="17"/>
  <c r="X640" i="17"/>
  <c r="X684" i="17"/>
  <c r="X669" i="17"/>
  <c r="X654" i="17"/>
  <c r="X379" i="17"/>
  <c r="X78" i="17"/>
  <c r="X360" i="17"/>
  <c r="X412" i="17"/>
  <c r="X400" i="17"/>
  <c r="X119" i="17"/>
  <c r="X115" i="17"/>
  <c r="X134" i="17"/>
  <c r="X464" i="17"/>
  <c r="X448" i="17"/>
  <c r="X434" i="17"/>
  <c r="X422" i="17"/>
  <c r="X82" i="17"/>
  <c r="X213" i="17"/>
  <c r="X644" i="17"/>
  <c r="X348" i="17"/>
  <c r="X528" i="17"/>
  <c r="X516" i="17"/>
  <c r="X501" i="17"/>
  <c r="X491" i="17"/>
  <c r="X206" i="17"/>
  <c r="X574" i="17"/>
  <c r="X102" i="17"/>
  <c r="X639" i="17"/>
  <c r="X683" i="17"/>
  <c r="X668" i="17"/>
  <c r="X653" i="17"/>
  <c r="X485" i="17"/>
  <c r="X478" i="17"/>
  <c r="X83" i="17"/>
  <c r="X378" i="17"/>
  <c r="X77" i="17"/>
  <c r="X413" i="17"/>
  <c r="X404" i="17"/>
  <c r="X86" i="17"/>
  <c r="X544" i="17"/>
  <c r="X100" i="17"/>
  <c r="X116" i="17"/>
  <c r="X463" i="17"/>
  <c r="X446" i="17"/>
  <c r="X433" i="17"/>
  <c r="X421" i="17"/>
  <c r="X79" i="17"/>
  <c r="X21" i="17"/>
  <c r="X387" i="17"/>
  <c r="X347" i="17"/>
  <c r="X527" i="17"/>
  <c r="X515" i="17"/>
  <c r="X500" i="17"/>
  <c r="X490" i="17"/>
  <c r="X205" i="17"/>
  <c r="X573" i="17"/>
  <c r="X556" i="17"/>
  <c r="X149" i="17"/>
  <c r="X682" i="17"/>
  <c r="X667" i="17"/>
  <c r="X652" i="17"/>
  <c r="X483" i="17"/>
  <c r="X129" i="17"/>
  <c r="X377" i="17"/>
  <c r="X370" i="17"/>
  <c r="X275" i="17"/>
  <c r="X175" i="17"/>
  <c r="X158" i="17"/>
  <c r="X264" i="17"/>
  <c r="X248" i="17"/>
  <c r="G844" i="16"/>
  <c r="F549" i="9" s="1"/>
  <c r="G876" i="16"/>
  <c r="F517" i="9" s="1"/>
  <c r="X36" i="17"/>
  <c r="X28" i="17"/>
  <c r="X157" i="17"/>
  <c r="X23" i="17"/>
  <c r="X180" i="17"/>
  <c r="X18" i="17"/>
  <c r="X35" i="17"/>
  <c r="X274" i="17"/>
  <c r="X190" i="17"/>
  <c r="X179" i="17"/>
  <c r="X174" i="17"/>
  <c r="X168" i="17"/>
  <c r="X273" i="17"/>
  <c r="X189" i="17"/>
  <c r="X173" i="17"/>
  <c r="X25" i="17"/>
  <c r="X188" i="17"/>
  <c r="X19" i="17"/>
  <c r="X167" i="17"/>
  <c r="X156" i="17"/>
  <c r="X585" i="17"/>
  <c r="X253" i="17"/>
  <c r="X34" i="17"/>
  <c r="X15" i="17"/>
  <c r="X14" i="17"/>
  <c r="X166" i="17"/>
  <c r="X7" i="17"/>
  <c r="X584" i="17"/>
  <c r="X252" i="17"/>
  <c r="X320" i="17"/>
  <c r="X280" i="17"/>
  <c r="X24" i="17"/>
  <c r="X17" i="17"/>
  <c r="X172" i="17"/>
  <c r="X5" i="17"/>
  <c r="X251" i="17"/>
  <c r="X30" i="17"/>
  <c r="X272" i="17"/>
  <c r="X9" i="17"/>
  <c r="X178" i="17"/>
  <c r="X13" i="17"/>
  <c r="X165" i="17"/>
  <c r="X250" i="17"/>
  <c r="F514" i="9"/>
  <c r="X271" i="17"/>
  <c r="X187" i="17"/>
  <c r="X6" i="17"/>
  <c r="X164" i="17"/>
  <c r="X388" i="17"/>
  <c r="X316" i="17"/>
  <c r="X31" i="17"/>
  <c r="X270" i="17"/>
  <c r="X186" i="17"/>
  <c r="X12" i="17"/>
  <c r="X315" i="17"/>
  <c r="X278" i="17"/>
  <c r="X269" i="17"/>
  <c r="X185" i="17"/>
  <c r="X171" i="17"/>
  <c r="X163" i="17"/>
  <c r="X245" i="17"/>
  <c r="X39" i="17"/>
  <c r="X26" i="17"/>
  <c r="X268" i="17"/>
  <c r="X184" i="17"/>
  <c r="X177" i="17"/>
  <c r="X170" i="17"/>
  <c r="X162" i="17"/>
  <c r="X244" i="17"/>
  <c r="G889" i="16"/>
  <c r="F583" i="9" s="1"/>
  <c r="G905" i="16"/>
  <c r="F567" i="9" s="1"/>
  <c r="G3" i="16"/>
  <c r="G4" i="16"/>
  <c r="G5" i="16"/>
  <c r="G6" i="16"/>
  <c r="G7" i="16"/>
  <c r="G8" i="16"/>
  <c r="G9" i="16"/>
  <c r="G10" i="16"/>
  <c r="G11" i="16"/>
  <c r="G12" i="16"/>
  <c r="G13" i="16"/>
  <c r="G14" i="16"/>
  <c r="G15" i="16"/>
  <c r="G16" i="16"/>
  <c r="G17" i="16"/>
  <c r="G18" i="16"/>
  <c r="G19" i="16"/>
  <c r="G20" i="16"/>
  <c r="G21" i="16"/>
  <c r="G22" i="16"/>
  <c r="G23" i="16"/>
  <c r="G24" i="16"/>
  <c r="G25" i="16"/>
  <c r="G26" i="16"/>
  <c r="G27" i="16"/>
  <c r="G28" i="16"/>
  <c r="G29" i="16"/>
  <c r="G30" i="16"/>
  <c r="G31" i="16"/>
  <c r="G32" i="16"/>
  <c r="G33" i="16"/>
  <c r="G34" i="16"/>
  <c r="G35" i="16"/>
  <c r="G36" i="16"/>
  <c r="G37" i="16"/>
  <c r="G38" i="16"/>
  <c r="G39" i="16"/>
  <c r="G40" i="16"/>
  <c r="G41" i="16"/>
  <c r="G42" i="16"/>
  <c r="G43" i="16"/>
  <c r="G44" i="16"/>
  <c r="G45" i="16"/>
  <c r="G46" i="16"/>
  <c r="G47" i="16"/>
  <c r="G48" i="16"/>
  <c r="G49" i="16"/>
  <c r="G50" i="16"/>
  <c r="G51" i="16"/>
  <c r="G52" i="16"/>
  <c r="G53" i="16"/>
  <c r="G54" i="16"/>
  <c r="G55" i="16"/>
  <c r="G56" i="16"/>
  <c r="G57" i="16"/>
  <c r="G58" i="16"/>
  <c r="G59" i="16"/>
  <c r="G60" i="16"/>
  <c r="G61" i="16"/>
  <c r="G62" i="16"/>
  <c r="G63" i="16"/>
  <c r="G64" i="16"/>
  <c r="G65" i="16"/>
  <c r="G66" i="16"/>
  <c r="G67" i="16"/>
  <c r="G68" i="16"/>
  <c r="G69" i="16"/>
  <c r="G70" i="16"/>
  <c r="G71" i="16"/>
  <c r="G72" i="16"/>
  <c r="G73" i="16"/>
  <c r="G74" i="16"/>
  <c r="G75" i="16"/>
  <c r="G76" i="16"/>
  <c r="G77" i="16"/>
  <c r="G78" i="16"/>
  <c r="G79" i="16"/>
  <c r="G80" i="16"/>
  <c r="G81" i="16"/>
  <c r="G82" i="16"/>
  <c r="G83" i="16"/>
  <c r="G84" i="16"/>
  <c r="G85" i="16"/>
  <c r="G86" i="16"/>
  <c r="G87" i="16"/>
  <c r="G88" i="16"/>
  <c r="G89" i="16"/>
  <c r="G90" i="16"/>
  <c r="G91" i="16"/>
  <c r="G92" i="16"/>
  <c r="G93" i="16"/>
  <c r="G94" i="16"/>
  <c r="G95" i="16"/>
  <c r="G96" i="16"/>
  <c r="G97" i="16"/>
  <c r="G98" i="16"/>
  <c r="G99" i="16"/>
  <c r="G100" i="16"/>
  <c r="G101" i="16"/>
  <c r="G102" i="16"/>
  <c r="G103" i="16"/>
  <c r="G104" i="16"/>
  <c r="G105" i="16"/>
  <c r="G106" i="16"/>
  <c r="G107" i="16"/>
  <c r="G108" i="16"/>
  <c r="G109" i="16"/>
  <c r="G110" i="16"/>
  <c r="G111" i="16"/>
  <c r="G112" i="16"/>
  <c r="G113" i="16"/>
  <c r="G114" i="16"/>
  <c r="G115" i="16"/>
  <c r="G116" i="16"/>
  <c r="G117" i="16"/>
  <c r="G118" i="16"/>
  <c r="G119" i="16"/>
  <c r="G120" i="16"/>
  <c r="G121" i="16"/>
  <c r="G122" i="16"/>
  <c r="G123" i="16"/>
  <c r="G124" i="16"/>
  <c r="G125" i="16"/>
  <c r="G126" i="16"/>
  <c r="G127" i="16"/>
  <c r="G128" i="16"/>
  <c r="G129" i="16"/>
  <c r="G130" i="16"/>
  <c r="G131" i="16"/>
  <c r="G132" i="16"/>
  <c r="G133" i="16"/>
  <c r="G134" i="16"/>
  <c r="G135" i="16"/>
  <c r="G136" i="16"/>
  <c r="G137" i="16"/>
  <c r="G138" i="16"/>
  <c r="G139" i="16"/>
  <c r="G140" i="16"/>
  <c r="G141" i="16"/>
  <c r="G142" i="16"/>
  <c r="G143" i="16"/>
  <c r="G144" i="16"/>
  <c r="G145" i="16"/>
  <c r="G146" i="16"/>
  <c r="G147" i="16"/>
  <c r="G148" i="16"/>
  <c r="G149" i="16"/>
  <c r="G150" i="16"/>
  <c r="G151" i="16"/>
  <c r="G152" i="16"/>
  <c r="G153" i="16"/>
  <c r="G154" i="16"/>
  <c r="G155" i="16"/>
  <c r="G156" i="16"/>
  <c r="G157" i="16"/>
  <c r="G158" i="16"/>
  <c r="G159" i="16"/>
  <c r="G160" i="16"/>
  <c r="G161" i="16"/>
  <c r="G162" i="16"/>
  <c r="G163" i="16"/>
  <c r="G164" i="16"/>
  <c r="G165" i="16"/>
  <c r="G166" i="16"/>
  <c r="G167" i="16"/>
  <c r="G168" i="16"/>
  <c r="G169" i="16"/>
  <c r="G170" i="16"/>
  <c r="G171" i="16"/>
  <c r="G172" i="16"/>
  <c r="G173" i="16"/>
  <c r="G174" i="16"/>
  <c r="G175" i="16"/>
  <c r="G176" i="16"/>
  <c r="G177" i="16"/>
  <c r="G178" i="16"/>
  <c r="G179" i="16"/>
  <c r="G180" i="16"/>
  <c r="G181" i="16"/>
  <c r="G182" i="16"/>
  <c r="G183" i="16"/>
  <c r="G184" i="16"/>
  <c r="G185" i="16"/>
  <c r="G186" i="16"/>
  <c r="G187" i="16"/>
  <c r="G188" i="16"/>
  <c r="G189" i="16"/>
  <c r="G190" i="16"/>
  <c r="G191" i="16"/>
  <c r="G192" i="16"/>
  <c r="G193" i="16"/>
  <c r="G194" i="16"/>
  <c r="G195" i="16"/>
  <c r="G196" i="16"/>
  <c r="G197" i="16"/>
  <c r="G198" i="16"/>
  <c r="G199" i="16"/>
  <c r="G200" i="16"/>
  <c r="G201" i="16"/>
  <c r="G202" i="16"/>
  <c r="G203" i="16"/>
  <c r="G204" i="16"/>
  <c r="G205" i="16"/>
  <c r="G206" i="16"/>
  <c r="G207" i="16"/>
  <c r="G208" i="16"/>
  <c r="G209" i="16"/>
  <c r="G210" i="16"/>
  <c r="G211" i="16"/>
  <c r="G212" i="16"/>
  <c r="G213" i="16"/>
  <c r="G214" i="16"/>
  <c r="G215" i="16"/>
  <c r="G216" i="16"/>
  <c r="G217" i="16"/>
  <c r="G218" i="16"/>
  <c r="G219" i="16"/>
  <c r="G220" i="16"/>
  <c r="G221" i="16"/>
  <c r="G222" i="16"/>
  <c r="G223" i="16"/>
  <c r="G224" i="16"/>
  <c r="G225" i="16"/>
  <c r="G226" i="16"/>
  <c r="G227" i="16"/>
  <c r="G228" i="16"/>
  <c r="G229" i="16"/>
  <c r="G230" i="16"/>
  <c r="G231" i="16"/>
  <c r="G232" i="16"/>
  <c r="G233" i="16"/>
  <c r="G234" i="16"/>
  <c r="G235" i="16"/>
  <c r="G236" i="16"/>
  <c r="G237" i="16"/>
  <c r="G238" i="16"/>
  <c r="G239" i="16"/>
  <c r="G240" i="16"/>
  <c r="G241" i="16"/>
  <c r="G242" i="16"/>
  <c r="G243" i="16"/>
  <c r="G244" i="16"/>
  <c r="G245" i="16"/>
  <c r="G246" i="16"/>
  <c r="G247" i="16"/>
  <c r="G248" i="16"/>
  <c r="G249" i="16"/>
  <c r="G250" i="16"/>
  <c r="G251" i="16"/>
  <c r="G252" i="16"/>
  <c r="G253" i="16"/>
  <c r="G254" i="16"/>
  <c r="G255" i="16"/>
  <c r="G256" i="16"/>
  <c r="G257" i="16"/>
  <c r="G258" i="16"/>
  <c r="G259" i="16"/>
  <c r="G260" i="16"/>
  <c r="G261" i="16"/>
  <c r="G262" i="16"/>
  <c r="G263" i="16"/>
  <c r="G264" i="16"/>
  <c r="G265" i="16"/>
  <c r="G266" i="16"/>
  <c r="G267" i="16"/>
  <c r="G268" i="16"/>
  <c r="G269" i="16"/>
  <c r="G270" i="16"/>
  <c r="G271" i="16"/>
  <c r="G272" i="16"/>
  <c r="G273" i="16"/>
  <c r="G274" i="16"/>
  <c r="G275" i="16"/>
  <c r="G276" i="16"/>
  <c r="G277" i="16"/>
  <c r="G278" i="16"/>
  <c r="G279" i="16"/>
  <c r="G280" i="16"/>
  <c r="G281" i="16"/>
  <c r="G282" i="16"/>
  <c r="G283" i="16"/>
  <c r="G284" i="16"/>
  <c r="G285" i="16"/>
  <c r="G286" i="16"/>
  <c r="G287" i="16"/>
  <c r="G288" i="16"/>
  <c r="G289" i="16"/>
  <c r="G290" i="16"/>
  <c r="G291" i="16"/>
  <c r="G292" i="16"/>
  <c r="G293" i="16"/>
  <c r="G294" i="16"/>
  <c r="G295" i="16"/>
  <c r="G296" i="16"/>
  <c r="G297" i="16"/>
  <c r="G298" i="16"/>
  <c r="G299" i="16"/>
  <c r="G300" i="16"/>
  <c r="G301" i="16"/>
  <c r="G302" i="16"/>
  <c r="G303" i="16"/>
  <c r="G304" i="16"/>
  <c r="G305" i="16"/>
  <c r="G306" i="16"/>
  <c r="G307" i="16"/>
  <c r="G308" i="16"/>
  <c r="G309" i="16"/>
  <c r="G310" i="16"/>
  <c r="G311" i="16"/>
  <c r="G312" i="16"/>
  <c r="G313" i="16"/>
  <c r="G314" i="16"/>
  <c r="G315" i="16"/>
  <c r="G316" i="16"/>
  <c r="G317" i="16"/>
  <c r="G318" i="16"/>
  <c r="G319" i="16"/>
  <c r="G320" i="16"/>
  <c r="G321" i="16"/>
  <c r="G322" i="16"/>
  <c r="G323" i="16"/>
  <c r="G324" i="16"/>
  <c r="G325" i="16"/>
  <c r="G326" i="16"/>
  <c r="G327" i="16"/>
  <c r="G328" i="16"/>
  <c r="G329" i="16"/>
  <c r="G330" i="16"/>
  <c r="G331" i="16"/>
  <c r="G332" i="16"/>
  <c r="G333" i="16"/>
  <c r="G334" i="16"/>
  <c r="G335" i="16"/>
  <c r="G336" i="16"/>
  <c r="G337" i="16"/>
  <c r="G338" i="16"/>
  <c r="G339" i="16"/>
  <c r="G340" i="16"/>
  <c r="G341" i="16"/>
  <c r="G342" i="16"/>
  <c r="G343" i="16"/>
  <c r="G344" i="16"/>
  <c r="G345" i="16"/>
  <c r="G346" i="16"/>
  <c r="G347" i="16"/>
  <c r="G348" i="16"/>
  <c r="G349" i="16"/>
  <c r="G350" i="16"/>
  <c r="G351" i="16"/>
  <c r="G352" i="16"/>
  <c r="G353" i="16"/>
  <c r="G354" i="16"/>
  <c r="G355" i="16"/>
  <c r="G356" i="16"/>
  <c r="G357" i="16"/>
  <c r="G358" i="16"/>
  <c r="G359" i="16"/>
  <c r="G360" i="16"/>
  <c r="G361" i="16"/>
  <c r="G362" i="16"/>
  <c r="G363" i="16"/>
  <c r="G364" i="16"/>
  <c r="G365" i="16"/>
  <c r="G366" i="16"/>
  <c r="G367" i="16"/>
  <c r="G368" i="16"/>
  <c r="G369" i="16"/>
  <c r="G370" i="16"/>
  <c r="G371" i="16"/>
  <c r="G372" i="16"/>
  <c r="G373" i="16"/>
  <c r="G374" i="16"/>
  <c r="G375" i="16"/>
  <c r="G376" i="16"/>
  <c r="G377" i="16"/>
  <c r="G378" i="16"/>
  <c r="G379" i="16"/>
  <c r="G380" i="16"/>
  <c r="G381" i="16"/>
  <c r="G382" i="16"/>
  <c r="G383" i="16"/>
  <c r="G384" i="16"/>
  <c r="G385" i="16"/>
  <c r="G386" i="16"/>
  <c r="G387" i="16"/>
  <c r="G388" i="16"/>
  <c r="G389" i="16"/>
  <c r="G390" i="16"/>
  <c r="G391" i="16"/>
  <c r="G392" i="16"/>
  <c r="G393" i="16"/>
  <c r="G394" i="16"/>
  <c r="G395" i="16"/>
  <c r="G396" i="16"/>
  <c r="G397" i="16"/>
  <c r="G398" i="16"/>
  <c r="G399" i="16"/>
  <c r="G400" i="16"/>
  <c r="G401" i="16"/>
  <c r="G402" i="16"/>
  <c r="G403" i="16"/>
  <c r="G404" i="16"/>
  <c r="G405" i="16"/>
  <c r="G406" i="16"/>
  <c r="G407" i="16"/>
  <c r="G408" i="16"/>
  <c r="G409" i="16"/>
  <c r="G410" i="16"/>
  <c r="G411" i="16"/>
  <c r="G412" i="16"/>
  <c r="G413" i="16"/>
  <c r="G414" i="16"/>
  <c r="G415" i="16"/>
  <c r="G416" i="16"/>
  <c r="G417" i="16"/>
  <c r="G418" i="16"/>
  <c r="G419" i="16"/>
  <c r="G420" i="16"/>
  <c r="G421" i="16"/>
  <c r="G422" i="16"/>
  <c r="G423" i="16"/>
  <c r="G424" i="16"/>
  <c r="G425" i="16"/>
  <c r="G426" i="16"/>
  <c r="G427" i="16"/>
  <c r="G428" i="16"/>
  <c r="G429" i="16"/>
  <c r="G430" i="16"/>
  <c r="G431" i="16"/>
  <c r="G432" i="16"/>
  <c r="G433" i="16"/>
  <c r="G434" i="16"/>
  <c r="G435" i="16"/>
  <c r="G436" i="16"/>
  <c r="G437" i="16"/>
  <c r="G438" i="16"/>
  <c r="G439" i="16"/>
  <c r="G440" i="16"/>
  <c r="G441" i="16"/>
  <c r="G442" i="16"/>
  <c r="G443" i="16"/>
  <c r="G444" i="16"/>
  <c r="G445" i="16"/>
  <c r="G446" i="16"/>
  <c r="G447" i="16"/>
  <c r="G448" i="16"/>
  <c r="G449" i="16"/>
  <c r="G450" i="16"/>
  <c r="G451" i="16"/>
  <c r="G452" i="16"/>
  <c r="G453" i="16"/>
  <c r="G454" i="16"/>
  <c r="G455" i="16"/>
  <c r="G456" i="16"/>
  <c r="G457" i="16"/>
  <c r="G458" i="16"/>
  <c r="G459" i="16"/>
  <c r="G460" i="16"/>
  <c r="G461" i="16"/>
  <c r="G462" i="16"/>
  <c r="G463" i="16"/>
  <c r="G464" i="16"/>
  <c r="G465" i="16"/>
  <c r="G466" i="16"/>
  <c r="G467" i="16"/>
  <c r="G468" i="16"/>
  <c r="G469" i="16"/>
  <c r="G470" i="16"/>
  <c r="G471" i="16"/>
  <c r="G472" i="16"/>
  <c r="G473" i="16"/>
  <c r="G474" i="16"/>
  <c r="G475" i="16"/>
  <c r="G476" i="16"/>
  <c r="G477" i="16"/>
  <c r="G478" i="16"/>
  <c r="G479" i="16"/>
  <c r="G480" i="16"/>
  <c r="G481" i="16"/>
  <c r="G482" i="16"/>
  <c r="G483" i="16"/>
  <c r="G484" i="16"/>
  <c r="G485" i="16"/>
  <c r="G486" i="16"/>
  <c r="G487" i="16"/>
  <c r="G488" i="16"/>
  <c r="G489" i="16"/>
  <c r="G490" i="16"/>
  <c r="G491" i="16"/>
  <c r="G492" i="16"/>
  <c r="G493" i="16"/>
  <c r="G494" i="16"/>
  <c r="G495" i="16"/>
  <c r="G496" i="16"/>
  <c r="G497" i="16"/>
  <c r="G498" i="16"/>
  <c r="G499" i="16"/>
  <c r="G500" i="16"/>
  <c r="G501" i="16"/>
  <c r="G502" i="16"/>
  <c r="G503" i="16"/>
  <c r="G504" i="16"/>
  <c r="G505" i="16"/>
  <c r="G506" i="16"/>
  <c r="G507" i="16"/>
  <c r="G508" i="16"/>
  <c r="G509" i="16"/>
  <c r="G510" i="16"/>
  <c r="G511" i="16"/>
  <c r="G512" i="16"/>
  <c r="G513" i="16"/>
  <c r="G514" i="16"/>
  <c r="G515" i="16"/>
  <c r="G516" i="16"/>
  <c r="G517" i="16"/>
  <c r="G518" i="16"/>
  <c r="G519" i="16"/>
  <c r="G520" i="16"/>
  <c r="G521" i="16"/>
  <c r="G522" i="16"/>
  <c r="G523" i="16"/>
  <c r="G524" i="16"/>
  <c r="G525" i="16"/>
  <c r="G526" i="16"/>
  <c r="G527" i="16"/>
  <c r="G528" i="16"/>
  <c r="G529" i="16"/>
  <c r="G530" i="16"/>
  <c r="G531" i="16"/>
  <c r="G532" i="16"/>
  <c r="G533" i="16"/>
  <c r="G534" i="16"/>
  <c r="G535" i="16"/>
  <c r="G536" i="16"/>
  <c r="G537" i="16"/>
  <c r="G538" i="16"/>
  <c r="G539" i="16"/>
  <c r="G540" i="16"/>
  <c r="G541" i="16"/>
  <c r="G542" i="16"/>
  <c r="G543" i="16"/>
  <c r="G544" i="16"/>
  <c r="G545" i="16"/>
  <c r="G546" i="16"/>
  <c r="G547" i="16"/>
  <c r="G548" i="16"/>
  <c r="G549" i="16"/>
  <c r="G550" i="16"/>
  <c r="G551" i="16"/>
  <c r="G552" i="16"/>
  <c r="G553" i="16"/>
  <c r="G554" i="16"/>
  <c r="G555" i="16"/>
  <c r="G556" i="16"/>
  <c r="G557" i="16"/>
  <c r="G558" i="16"/>
  <c r="G559" i="16"/>
  <c r="G560" i="16"/>
  <c r="G561" i="16"/>
  <c r="G562" i="16"/>
  <c r="G563" i="16"/>
  <c r="G564" i="16"/>
  <c r="G565" i="16"/>
  <c r="G566" i="16"/>
  <c r="G567" i="16"/>
  <c r="G568" i="16"/>
  <c r="G569" i="16"/>
  <c r="G570" i="16"/>
  <c r="G571" i="16"/>
  <c r="G572" i="16"/>
  <c r="G573" i="16"/>
  <c r="G574" i="16"/>
  <c r="G575" i="16"/>
  <c r="G576" i="16"/>
  <c r="G577" i="16"/>
  <c r="G578" i="16"/>
  <c r="G579" i="16"/>
  <c r="G580" i="16"/>
  <c r="G581" i="16"/>
  <c r="G582" i="16"/>
  <c r="G583" i="16"/>
  <c r="G584" i="16"/>
  <c r="G585" i="16"/>
  <c r="G586" i="16"/>
  <c r="G587" i="16"/>
  <c r="G588" i="16"/>
  <c r="G589" i="16"/>
  <c r="G590" i="16"/>
  <c r="G591" i="16"/>
  <c r="G592" i="16"/>
  <c r="G593" i="16"/>
  <c r="G594" i="16"/>
  <c r="G595" i="16"/>
  <c r="G596" i="16"/>
  <c r="G597" i="16"/>
  <c r="G598" i="16"/>
  <c r="G599" i="16"/>
  <c r="G600" i="16"/>
  <c r="G601" i="16"/>
  <c r="G602" i="16"/>
  <c r="G603" i="16"/>
  <c r="G604" i="16"/>
  <c r="G605" i="16"/>
  <c r="G606" i="16"/>
  <c r="G607" i="16"/>
  <c r="G608" i="16"/>
  <c r="G609" i="16"/>
  <c r="G610" i="16"/>
  <c r="G611" i="16"/>
  <c r="G612" i="16"/>
  <c r="G613" i="16"/>
  <c r="G614" i="16"/>
  <c r="G615" i="16"/>
  <c r="G616" i="16"/>
  <c r="G617" i="16"/>
  <c r="G618" i="16"/>
  <c r="G619" i="16"/>
  <c r="G620" i="16"/>
  <c r="G621" i="16"/>
  <c r="G622" i="16"/>
  <c r="G623" i="16"/>
  <c r="G624" i="16"/>
  <c r="G625" i="16"/>
  <c r="G626" i="16"/>
  <c r="G627" i="16"/>
  <c r="G628" i="16"/>
  <c r="G629" i="16"/>
  <c r="G630" i="16"/>
  <c r="G631" i="16"/>
  <c r="G632" i="16"/>
  <c r="G633" i="16"/>
  <c r="G634" i="16"/>
  <c r="G635" i="16"/>
  <c r="G636" i="16"/>
  <c r="G637" i="16"/>
  <c r="G638" i="16"/>
  <c r="G639" i="16"/>
  <c r="G640" i="16"/>
  <c r="G641" i="16"/>
  <c r="G642" i="16"/>
  <c r="G643" i="16"/>
  <c r="G644" i="16"/>
  <c r="G645" i="16"/>
  <c r="G646" i="16"/>
  <c r="G647" i="16"/>
  <c r="G648" i="16"/>
  <c r="G649" i="16"/>
  <c r="G650" i="16"/>
  <c r="G651" i="16"/>
  <c r="G652" i="16"/>
  <c r="G653" i="16"/>
  <c r="G654" i="16"/>
  <c r="G655" i="16"/>
  <c r="G656" i="16"/>
  <c r="G657" i="16"/>
  <c r="G658" i="16"/>
  <c r="G659" i="16"/>
  <c r="G660" i="16"/>
  <c r="G661" i="16"/>
  <c r="G662" i="16"/>
  <c r="G663" i="16"/>
  <c r="G664" i="16"/>
  <c r="G665" i="16"/>
  <c r="G666" i="16"/>
  <c r="G667" i="16"/>
  <c r="G668" i="16"/>
  <c r="G669" i="16"/>
  <c r="G670" i="16"/>
  <c r="G671" i="16"/>
  <c r="G672" i="16"/>
  <c r="G673" i="16"/>
  <c r="G674" i="16"/>
  <c r="G675" i="16"/>
  <c r="G676" i="16"/>
  <c r="G677" i="16"/>
  <c r="G678" i="16"/>
  <c r="G679" i="16"/>
  <c r="G680" i="16"/>
  <c r="G681" i="16"/>
  <c r="G682" i="16"/>
  <c r="G683" i="16"/>
  <c r="G684" i="16"/>
  <c r="G685" i="16"/>
  <c r="G686" i="16"/>
  <c r="G687" i="16"/>
  <c r="G688" i="16"/>
  <c r="G689" i="16"/>
  <c r="G690" i="16"/>
  <c r="G691" i="16"/>
  <c r="G692" i="16"/>
  <c r="G693" i="16"/>
  <c r="G694" i="16"/>
  <c r="G695" i="16"/>
  <c r="G696" i="16"/>
  <c r="G697" i="16"/>
  <c r="G698" i="16"/>
  <c r="G699" i="16"/>
  <c r="G700" i="16"/>
  <c r="G701" i="16"/>
  <c r="G702" i="16"/>
  <c r="G703" i="16"/>
  <c r="G704" i="16"/>
  <c r="G705" i="16"/>
  <c r="G706" i="16"/>
  <c r="G707" i="16"/>
  <c r="G708" i="16"/>
  <c r="G709" i="16"/>
  <c r="G710" i="16"/>
  <c r="G711" i="16"/>
  <c r="G712" i="16"/>
  <c r="G713" i="16"/>
  <c r="G714" i="16"/>
  <c r="G715" i="16"/>
  <c r="G716" i="16"/>
  <c r="G717" i="16"/>
  <c r="G718" i="16"/>
  <c r="G719" i="16"/>
  <c r="G720" i="16"/>
  <c r="G721" i="16"/>
  <c r="G722" i="16"/>
  <c r="G723" i="16"/>
  <c r="G724" i="16"/>
  <c r="G725" i="16"/>
  <c r="G726" i="16"/>
  <c r="G727" i="16"/>
  <c r="G728" i="16"/>
  <c r="G729" i="16"/>
  <c r="G730" i="16"/>
  <c r="G731" i="16"/>
  <c r="G732" i="16"/>
  <c r="G733" i="16"/>
  <c r="G734" i="16"/>
  <c r="G735" i="16"/>
  <c r="G736" i="16"/>
  <c r="G737" i="16"/>
  <c r="G738" i="16"/>
  <c r="G739" i="16"/>
  <c r="G740" i="16"/>
  <c r="G741" i="16"/>
  <c r="G742" i="16"/>
  <c r="G743" i="16"/>
  <c r="G744" i="16"/>
  <c r="G745" i="16"/>
  <c r="G746" i="16"/>
  <c r="G747" i="16"/>
  <c r="G748" i="16"/>
  <c r="G749" i="16"/>
  <c r="G750" i="16"/>
  <c r="G751" i="16"/>
  <c r="G752" i="16"/>
  <c r="G753" i="16"/>
  <c r="G754" i="16"/>
  <c r="G755" i="16"/>
  <c r="G756" i="16"/>
  <c r="G757" i="16"/>
  <c r="G758" i="16"/>
  <c r="G759" i="16"/>
  <c r="G760" i="16"/>
  <c r="G761" i="16"/>
  <c r="G762" i="16"/>
  <c r="G763" i="16"/>
  <c r="G764" i="16"/>
  <c r="G765" i="16"/>
  <c r="G766" i="16"/>
  <c r="G767" i="16"/>
  <c r="G768" i="16"/>
  <c r="G769" i="16"/>
  <c r="G770" i="16"/>
  <c r="G771" i="16"/>
  <c r="G772" i="16"/>
  <c r="G773" i="16"/>
  <c r="G774" i="16"/>
  <c r="G775" i="16"/>
  <c r="G776" i="16"/>
  <c r="G777" i="16"/>
  <c r="G778" i="16"/>
  <c r="G779" i="16"/>
  <c r="G780" i="16"/>
  <c r="G781" i="16"/>
  <c r="G782" i="16"/>
  <c r="G783" i="16"/>
  <c r="G784" i="16"/>
  <c r="G785" i="16"/>
  <c r="G786" i="16"/>
  <c r="G787" i="16"/>
  <c r="G788" i="16"/>
  <c r="G789" i="16"/>
  <c r="G790" i="16"/>
  <c r="G791" i="16"/>
  <c r="G792" i="16"/>
  <c r="G793" i="16"/>
  <c r="G794" i="16"/>
  <c r="G795" i="16"/>
  <c r="G796" i="16"/>
  <c r="G797" i="16"/>
  <c r="G798" i="16"/>
  <c r="G799" i="16"/>
  <c r="G800" i="16"/>
  <c r="G801" i="16"/>
  <c r="G802" i="16"/>
  <c r="G803" i="16"/>
  <c r="G804" i="16"/>
  <c r="G805" i="16"/>
  <c r="G806" i="16"/>
  <c r="G807" i="16"/>
  <c r="G808" i="16"/>
  <c r="G809" i="16"/>
  <c r="G810" i="16"/>
  <c r="G811" i="16"/>
  <c r="G812" i="16"/>
  <c r="G813" i="16"/>
  <c r="G814" i="16"/>
  <c r="G815" i="16"/>
  <c r="G816" i="16"/>
  <c r="G817" i="16"/>
  <c r="G818" i="16"/>
  <c r="G819" i="16"/>
  <c r="G820" i="16"/>
  <c r="G821" i="16"/>
  <c r="G822" i="16"/>
  <c r="G823" i="16"/>
  <c r="G824" i="16"/>
  <c r="G825" i="16"/>
  <c r="G826" i="16"/>
  <c r="Q2" i="16" l="1"/>
  <c r="F11" i="13" l="1"/>
  <c r="F468" i="9"/>
  <c r="F3" i="24"/>
  <c r="F4" i="24"/>
  <c r="F117" i="10"/>
  <c r="F118" i="10"/>
  <c r="F119" i="10"/>
  <c r="F469" i="9"/>
  <c r="F9" i="13"/>
  <c r="F120" i="10"/>
  <c r="F10" i="13"/>
  <c r="F470" i="9"/>
  <c r="F121" i="10"/>
  <c r="F471" i="9"/>
  <c r="F122" i="10"/>
  <c r="F472" i="9"/>
  <c r="F5" i="19"/>
  <c r="F7" i="23"/>
  <c r="F4" i="23"/>
  <c r="F8" i="23"/>
  <c r="F6" i="23"/>
  <c r="F5" i="23"/>
  <c r="F473" i="9"/>
  <c r="F474" i="9"/>
  <c r="F475" i="9"/>
  <c r="F476" i="9"/>
  <c r="F477" i="9"/>
  <c r="F478" i="9"/>
  <c r="F479" i="9"/>
  <c r="F480" i="9"/>
  <c r="F6" i="11"/>
  <c r="F7" i="11"/>
  <c r="F8" i="11"/>
  <c r="F481" i="9"/>
  <c r="O9" i="16" l="1"/>
  <c r="P9" i="16" s="1"/>
  <c r="F467" i="9"/>
  <c r="F229" i="9" l="1"/>
  <c r="F232" i="9"/>
  <c r="F235" i="9"/>
  <c r="F233" i="9"/>
  <c r="F237" i="9"/>
  <c r="F238" i="9"/>
  <c r="F246" i="9"/>
  <c r="F241" i="9"/>
  <c r="F240" i="9"/>
  <c r="F242" i="9"/>
  <c r="F249" i="9"/>
  <c r="F85" i="10"/>
  <c r="F252" i="9"/>
  <c r="F86" i="10"/>
  <c r="F255" i="9"/>
  <c r="F256" i="9"/>
  <c r="F257" i="9"/>
  <c r="F254" i="9"/>
  <c r="F253" i="9"/>
  <c r="F251" i="9"/>
  <c r="F250" i="9"/>
  <c r="F248" i="9"/>
  <c r="F247" i="9"/>
  <c r="F243" i="9"/>
  <c r="F245" i="9"/>
  <c r="F244" i="9"/>
  <c r="F239" i="9"/>
  <c r="F236" i="9"/>
  <c r="F234" i="9"/>
  <c r="F228" i="9"/>
  <c r="F227" i="9"/>
  <c r="F231" i="9"/>
  <c r="F230" i="9"/>
  <c r="F226" i="9"/>
  <c r="F224" i="9"/>
  <c r="F223" i="9"/>
  <c r="F225" i="9"/>
  <c r="F222" i="9"/>
  <c r="F221" i="9"/>
  <c r="F216" i="9"/>
  <c r="F220" i="9"/>
  <c r="F219" i="9"/>
  <c r="F218" i="9"/>
  <c r="F217" i="9"/>
  <c r="F215" i="9"/>
  <c r="F214" i="9"/>
  <c r="F333" i="9"/>
  <c r="F332" i="9"/>
  <c r="F331" i="9"/>
  <c r="F330" i="9"/>
  <c r="F329" i="9"/>
  <c r="F328" i="9"/>
  <c r="F327" i="9"/>
  <c r="F321" i="9"/>
  <c r="F326" i="9"/>
  <c r="F325" i="9"/>
  <c r="F324" i="9"/>
  <c r="F323" i="9"/>
  <c r="F322" i="9"/>
  <c r="F309" i="9"/>
  <c r="F310" i="9"/>
  <c r="F311" i="9"/>
  <c r="F312" i="9"/>
  <c r="F313" i="9"/>
  <c r="F314" i="9"/>
  <c r="F315" i="9"/>
  <c r="F316" i="9"/>
  <c r="F317" i="9"/>
  <c r="F318" i="9"/>
  <c r="F319" i="9"/>
  <c r="F320" i="9"/>
  <c r="F308" i="9"/>
  <c r="F307" i="9"/>
  <c r="F306" i="9"/>
  <c r="F304" i="9"/>
  <c r="F303" i="9"/>
  <c r="F302" i="9"/>
  <c r="F301" i="9"/>
  <c r="F300" i="9"/>
  <c r="F299" i="9"/>
  <c r="F298" i="9"/>
  <c r="F297" i="9"/>
  <c r="F305" i="9"/>
  <c r="F296" i="9"/>
  <c r="F295" i="9"/>
  <c r="F294" i="9"/>
  <c r="F293" i="9"/>
  <c r="F292" i="9"/>
  <c r="F291" i="9"/>
  <c r="F290" i="9"/>
  <c r="F289" i="9"/>
  <c r="F288" i="9"/>
  <c r="F287" i="9"/>
  <c r="F286" i="9"/>
  <c r="F285" i="9"/>
  <c r="F284" i="9"/>
  <c r="F283" i="9"/>
  <c r="F282" i="9"/>
  <c r="F281" i="9"/>
  <c r="F280" i="9"/>
  <c r="F279" i="9"/>
  <c r="F278" i="9"/>
  <c r="F277" i="9"/>
  <c r="F276" i="9"/>
  <c r="F275" i="9"/>
  <c r="F274" i="9"/>
  <c r="F273" i="9"/>
  <c r="F272" i="9"/>
  <c r="F271" i="9"/>
  <c r="F270" i="9"/>
  <c r="F269" i="9"/>
  <c r="F268" i="9"/>
  <c r="F267" i="9"/>
  <c r="F24" i="23"/>
  <c r="F23" i="23"/>
  <c r="F22" i="23"/>
  <c r="F21" i="23"/>
  <c r="F20" i="23"/>
  <c r="F19" i="23"/>
  <c r="F18" i="23"/>
  <c r="F17" i="23"/>
  <c r="F16" i="23"/>
  <c r="F15" i="23"/>
  <c r="F93" i="10"/>
  <c r="F92" i="10"/>
  <c r="F91" i="10"/>
  <c r="F90" i="10"/>
  <c r="F89" i="10"/>
  <c r="F88" i="10"/>
  <c r="F14" i="23"/>
  <c r="F13" i="23"/>
  <c r="F12" i="23"/>
  <c r="F11" i="23"/>
  <c r="F10" i="23"/>
  <c r="F9" i="23"/>
  <c r="F103" i="8"/>
  <c r="F104" i="8"/>
  <c r="F102" i="8"/>
  <c r="F101" i="8"/>
  <c r="F100" i="8"/>
  <c r="F99" i="8"/>
  <c r="F98" i="8"/>
  <c r="F97" i="8"/>
  <c r="F94" i="8"/>
  <c r="F93" i="8"/>
  <c r="F92" i="8"/>
  <c r="F90" i="8"/>
  <c r="F89" i="8"/>
  <c r="F88" i="8"/>
  <c r="F87" i="8"/>
  <c r="F86" i="8"/>
  <c r="F85" i="8"/>
  <c r="F84" i="8"/>
  <c r="F83" i="8"/>
  <c r="F82" i="8"/>
  <c r="F81" i="8"/>
  <c r="F80" i="8"/>
  <c r="F79" i="8"/>
  <c r="F78" i="8"/>
  <c r="F77" i="8"/>
  <c r="F76" i="8"/>
  <c r="F75" i="8"/>
  <c r="F74" i="8"/>
  <c r="F73" i="8"/>
  <c r="F72" i="8"/>
  <c r="F71" i="8"/>
  <c r="F70" i="8"/>
  <c r="F69" i="8"/>
  <c r="F68" i="8"/>
  <c r="F67" i="8"/>
  <c r="F66" i="8"/>
  <c r="F65" i="8"/>
  <c r="F64" i="8"/>
  <c r="F63" i="8"/>
  <c r="F62" i="8"/>
  <c r="F61" i="8"/>
  <c r="F60" i="8"/>
  <c r="F59" i="8"/>
  <c r="F57" i="8"/>
  <c r="F56" i="8"/>
  <c r="F55" i="8"/>
  <c r="F54" i="8"/>
  <c r="F53" i="8"/>
  <c r="F52" i="8"/>
  <c r="F51" i="8"/>
  <c r="F50" i="8"/>
  <c r="F48" i="8"/>
  <c r="F47" i="8"/>
  <c r="F46" i="8"/>
  <c r="F45" i="8"/>
  <c r="F44" i="8"/>
  <c r="F43" i="8"/>
  <c r="F42" i="8"/>
  <c r="F41" i="8"/>
  <c r="F40" i="8"/>
  <c r="F39" i="8"/>
  <c r="F38" i="8"/>
  <c r="F37" i="8"/>
  <c r="F36" i="8"/>
  <c r="F35" i="8"/>
  <c r="F34" i="8"/>
  <c r="F33" i="8"/>
  <c r="F32" i="8"/>
  <c r="F31" i="8"/>
  <c r="F30" i="8"/>
  <c r="F29" i="8"/>
  <c r="F28" i="8"/>
  <c r="F27" i="8"/>
  <c r="F26" i="8"/>
  <c r="F25" i="8"/>
  <c r="F24" i="8"/>
  <c r="F23" i="8"/>
  <c r="F22" i="8"/>
  <c r="F21" i="8"/>
  <c r="F20" i="8"/>
  <c r="F19" i="8"/>
  <c r="F18" i="8"/>
  <c r="F17" i="8"/>
  <c r="F16" i="8"/>
  <c r="F15" i="8"/>
  <c r="F14" i="8"/>
  <c r="F13" i="8"/>
  <c r="F12" i="8"/>
  <c r="F11" i="8"/>
  <c r="F10" i="8"/>
  <c r="F8" i="8"/>
  <c r="F7" i="8"/>
  <c r="F6" i="8"/>
  <c r="F5" i="8"/>
  <c r="F4" i="8"/>
  <c r="F3" i="8"/>
  <c r="F95" i="8"/>
  <c r="F49" i="8"/>
  <c r="F58" i="8"/>
  <c r="F91" i="8"/>
  <c r="F96" i="8"/>
  <c r="F9" i="8"/>
  <c r="F87" i="10"/>
  <c r="F109" i="9"/>
  <c r="F110" i="9"/>
  <c r="F111" i="9"/>
  <c r="F84" i="10"/>
  <c r="F108" i="9"/>
  <c r="F107" i="9"/>
  <c r="F83" i="10"/>
  <c r="F106" i="9"/>
  <c r="F105" i="9"/>
  <c r="F104" i="9"/>
  <c r="F103" i="9"/>
  <c r="F100" i="9"/>
  <c r="F102" i="9"/>
  <c r="F101" i="9"/>
  <c r="F99" i="9"/>
  <c r="F94" i="9"/>
  <c r="F95" i="9"/>
  <c r="F98" i="9"/>
  <c r="F97" i="9"/>
  <c r="F96" i="9"/>
  <c r="F93" i="9"/>
  <c r="F92" i="9"/>
  <c r="F91" i="9"/>
  <c r="F90" i="9"/>
  <c r="F89" i="9"/>
  <c r="F88" i="9"/>
  <c r="F87" i="9"/>
  <c r="F85" i="9"/>
  <c r="F86" i="9"/>
  <c r="F84" i="9"/>
  <c r="F83" i="9"/>
  <c r="F82" i="9"/>
  <c r="F461" i="9"/>
  <c r="F462" i="9"/>
  <c r="F460" i="9"/>
  <c r="F129" i="8" l="1"/>
  <c r="F130" i="8"/>
  <c r="F131" i="8"/>
  <c r="F132" i="8"/>
  <c r="F133" i="8"/>
  <c r="F134" i="8"/>
  <c r="F135" i="8"/>
  <c r="F136" i="8"/>
  <c r="F137" i="8"/>
  <c r="F138" i="8"/>
  <c r="F4" i="19"/>
  <c r="F70" i="10"/>
  <c r="F70" i="9"/>
  <c r="F71" i="9"/>
  <c r="F71" i="10"/>
  <c r="F72" i="10"/>
  <c r="F72" i="9"/>
  <c r="F73" i="9"/>
  <c r="F74" i="9"/>
  <c r="F75" i="9"/>
  <c r="F76" i="9"/>
  <c r="F77" i="9"/>
  <c r="F78" i="9"/>
  <c r="F73" i="10"/>
  <c r="F79" i="9"/>
  <c r="F74" i="10"/>
  <c r="F80" i="9"/>
  <c r="F81" i="9"/>
  <c r="F75" i="10"/>
  <c r="F142" i="9"/>
  <c r="F143" i="9"/>
  <c r="F144" i="9"/>
  <c r="F145" i="9"/>
  <c r="F146" i="9"/>
  <c r="F147" i="9"/>
  <c r="F162" i="9"/>
  <c r="F163" i="9"/>
  <c r="F164" i="9"/>
  <c r="F76" i="10"/>
  <c r="F165" i="9"/>
  <c r="F166" i="9"/>
  <c r="F167" i="9"/>
  <c r="F168" i="9"/>
  <c r="F169" i="9"/>
  <c r="F170" i="9"/>
  <c r="F171" i="9"/>
  <c r="F172" i="9"/>
  <c r="F77" i="10"/>
  <c r="F78" i="10"/>
  <c r="F173" i="9"/>
  <c r="F174" i="9"/>
  <c r="F175" i="9"/>
  <c r="F176" i="9"/>
  <c r="F177" i="9"/>
  <c r="F178" i="9"/>
  <c r="F179" i="9"/>
  <c r="F180" i="9"/>
  <c r="F181" i="9"/>
  <c r="F182" i="9"/>
  <c r="F183" i="9"/>
  <c r="F184" i="9"/>
  <c r="F185" i="9"/>
  <c r="F186" i="9"/>
  <c r="F187" i="9"/>
  <c r="F188" i="9"/>
  <c r="F189" i="9"/>
  <c r="F190" i="9"/>
  <c r="F191" i="9"/>
  <c r="F192" i="9"/>
  <c r="F193" i="9"/>
  <c r="F194" i="9"/>
  <c r="F195" i="9"/>
  <c r="F196" i="9"/>
  <c r="F197" i="9"/>
  <c r="F198" i="9"/>
  <c r="F199" i="9"/>
  <c r="F200" i="9"/>
  <c r="F201" i="9"/>
  <c r="F202" i="9"/>
  <c r="F203" i="9"/>
  <c r="F204" i="9"/>
  <c r="F205" i="9"/>
  <c r="F206" i="9"/>
  <c r="F207" i="9"/>
  <c r="F208" i="9"/>
  <c r="F209" i="9"/>
  <c r="F79" i="10"/>
  <c r="F210" i="9"/>
  <c r="F211" i="9"/>
  <c r="F212" i="9"/>
  <c r="F213" i="9"/>
  <c r="F334" i="9"/>
  <c r="F335" i="9"/>
  <c r="F336" i="9"/>
  <c r="F337" i="9"/>
  <c r="F338" i="9"/>
  <c r="F339" i="9"/>
  <c r="F340" i="9"/>
  <c r="F341" i="9"/>
  <c r="F342" i="9"/>
  <c r="F343" i="9"/>
  <c r="F344" i="9"/>
  <c r="F345" i="9"/>
  <c r="F346" i="9"/>
  <c r="F80" i="10"/>
  <c r="F347" i="9"/>
  <c r="F348" i="9"/>
  <c r="F349" i="9"/>
  <c r="F350" i="9"/>
  <c r="F351" i="9"/>
  <c r="F352" i="9"/>
  <c r="F353" i="9"/>
  <c r="F354" i="9"/>
  <c r="F355" i="9"/>
  <c r="F356" i="9"/>
  <c r="F357" i="9"/>
  <c r="F378" i="9"/>
  <c r="F379" i="9"/>
  <c r="F380" i="9"/>
  <c r="F381" i="9"/>
  <c r="F382" i="9"/>
  <c r="F81" i="10"/>
  <c r="F82" i="10"/>
  <c r="F394" i="9"/>
  <c r="F395" i="9"/>
  <c r="F463" i="9"/>
  <c r="F464" i="9"/>
  <c r="F465" i="9"/>
  <c r="F466" i="9"/>
  <c r="F266" i="9"/>
  <c r="F3" i="23" l="1"/>
  <c r="F115" i="10"/>
  <c r="F104" i="10"/>
  <c r="F98" i="10"/>
  <c r="F401" i="9"/>
  <c r="F402" i="9"/>
  <c r="F114" i="10"/>
  <c r="F108" i="10"/>
  <c r="F113" i="10"/>
  <c r="F107" i="10"/>
  <c r="F103" i="10"/>
  <c r="F403" i="9"/>
  <c r="F400" i="9"/>
  <c r="F112" i="10"/>
  <c r="F102" i="10"/>
  <c r="F97" i="10"/>
  <c r="F94" i="10"/>
  <c r="F399" i="9"/>
  <c r="F111" i="10"/>
  <c r="F106" i="10"/>
  <c r="F101" i="10"/>
  <c r="F96" i="10"/>
  <c r="F398" i="9"/>
  <c r="F110" i="10"/>
  <c r="F95" i="10"/>
  <c r="F109" i="10"/>
  <c r="F100" i="10"/>
  <c r="F116" i="10"/>
  <c r="F105" i="10"/>
  <c r="F99" i="10"/>
  <c r="F397" i="9"/>
  <c r="O8" i="16" l="1"/>
  <c r="P8" i="16" s="1"/>
  <c r="F448" i="9" l="1"/>
  <c r="F391" i="9" l="1"/>
  <c r="F388" i="9"/>
  <c r="F411" i="9"/>
  <c r="F415" i="9"/>
  <c r="F445" i="9"/>
  <c r="F408" i="9"/>
  <c r="F453" i="9"/>
  <c r="F441" i="9"/>
  <c r="F444" i="9"/>
  <c r="F422" i="9"/>
  <c r="F437" i="9"/>
  <c r="F407" i="9"/>
  <c r="F434" i="9"/>
  <c r="F436" i="9"/>
  <c r="F457" i="9"/>
  <c r="F435" i="9"/>
  <c r="F409" i="9"/>
  <c r="F432" i="9"/>
  <c r="F413" i="9"/>
  <c r="F383" i="9"/>
  <c r="F410" i="9"/>
  <c r="F505" i="9"/>
  <c r="F503" i="9"/>
  <c r="F509" i="9"/>
  <c r="F507" i="9"/>
  <c r="F508" i="9"/>
  <c r="F502" i="9"/>
  <c r="F496" i="9"/>
  <c r="F485" i="9"/>
  <c r="F491" i="9"/>
  <c r="F497" i="9"/>
  <c r="F484" i="9"/>
  <c r="F489" i="9"/>
  <c r="F160" i="9"/>
  <c r="F483" i="9"/>
  <c r="F494" i="9"/>
  <c r="F157" i="9"/>
  <c r="F261" i="9"/>
  <c r="F56" i="10"/>
  <c r="F377" i="9"/>
  <c r="F51" i="10"/>
  <c r="F371" i="9"/>
  <c r="F55" i="10"/>
  <c r="F366" i="9"/>
  <c r="F363" i="9"/>
  <c r="F375" i="9"/>
  <c r="F373" i="9"/>
  <c r="F54" i="10"/>
  <c r="F362" i="9"/>
  <c r="F365" i="9"/>
  <c r="F48" i="10"/>
  <c r="F67" i="10"/>
  <c r="F364" i="9"/>
  <c r="F52" i="10"/>
  <c r="F49" i="10"/>
  <c r="F53" i="10"/>
  <c r="F367" i="9"/>
  <c r="F376" i="9"/>
  <c r="F62" i="10"/>
  <c r="F360" i="9"/>
  <c r="F64" i="10"/>
  <c r="F358" i="9"/>
  <c r="F372" i="9"/>
  <c r="F68" i="10"/>
  <c r="F5" i="13"/>
  <c r="F108" i="8"/>
  <c r="F116" i="8"/>
  <c r="F124" i="8"/>
  <c r="F4" i="9"/>
  <c r="F133" i="9"/>
  <c r="F14" i="9"/>
  <c r="F20" i="9"/>
  <c r="F6" i="9"/>
  <c r="F390" i="9"/>
  <c r="F392" i="9"/>
  <c r="F458" i="9"/>
  <c r="F389" i="9"/>
  <c r="F393" i="9"/>
  <c r="F459" i="9"/>
  <c r="F450" i="9"/>
  <c r="F416" i="9"/>
  <c r="F423" i="9"/>
  <c r="F404" i="9"/>
  <c r="F412" i="9"/>
  <c r="F426" i="9"/>
  <c r="F406" i="9"/>
  <c r="F430" i="9"/>
  <c r="F414" i="9"/>
  <c r="F451" i="9"/>
  <c r="F447" i="9"/>
  <c r="F429" i="9"/>
  <c r="F443" i="9"/>
  <c r="F446" i="9"/>
  <c r="F424" i="9"/>
  <c r="F418" i="9"/>
  <c r="F449" i="9"/>
  <c r="F433" i="9"/>
  <c r="F452" i="9"/>
  <c r="F455" i="9"/>
  <c r="F431" i="9"/>
  <c r="F428" i="9"/>
  <c r="F417" i="9"/>
  <c r="F439" i="9"/>
  <c r="F440" i="9"/>
  <c r="F386" i="9"/>
  <c r="F387" i="9"/>
  <c r="F405" i="9"/>
  <c r="F396" i="9"/>
  <c r="F513" i="9"/>
  <c r="F512" i="9"/>
  <c r="F504" i="9"/>
  <c r="F510" i="9"/>
  <c r="F511" i="9"/>
  <c r="F482" i="9"/>
  <c r="F488" i="9"/>
  <c r="F161" i="9"/>
  <c r="F156" i="9"/>
  <c r="F495" i="9"/>
  <c r="F498" i="9"/>
  <c r="F501" i="9"/>
  <c r="F499" i="9"/>
  <c r="F492" i="9"/>
  <c r="F493" i="9"/>
  <c r="F159" i="9"/>
  <c r="F500" i="9"/>
  <c r="F153" i="9"/>
  <c r="F260" i="9"/>
  <c r="F262" i="9"/>
  <c r="F259" i="9"/>
  <c r="F60" i="10"/>
  <c r="F69" i="10"/>
  <c r="F65" i="10"/>
  <c r="F59" i="10"/>
  <c r="F58" i="10"/>
  <c r="F57" i="10"/>
  <c r="F359" i="9"/>
  <c r="F361" i="9"/>
  <c r="F4" i="13"/>
  <c r="F107" i="8"/>
  <c r="F114" i="8"/>
  <c r="F111" i="8"/>
  <c r="F110" i="8"/>
  <c r="F109" i="8"/>
  <c r="F105" i="8"/>
  <c r="F120" i="8"/>
  <c r="F126" i="8"/>
  <c r="F117" i="8"/>
  <c r="F118" i="8"/>
  <c r="F128" i="8"/>
  <c r="F106" i="8"/>
  <c r="F113" i="8"/>
  <c r="F112" i="8"/>
  <c r="F127" i="8"/>
  <c r="F125" i="8"/>
  <c r="F123" i="8"/>
  <c r="F121" i="8"/>
  <c r="F119" i="8"/>
  <c r="F122" i="8"/>
  <c r="F115" i="8"/>
  <c r="F143" i="8"/>
  <c r="F140" i="8"/>
  <c r="F141" i="8"/>
  <c r="F153" i="8"/>
  <c r="F149" i="8"/>
  <c r="F148" i="8"/>
  <c r="F150" i="8"/>
  <c r="F151" i="8"/>
  <c r="F147" i="8"/>
  <c r="F142" i="8"/>
  <c r="F144" i="8"/>
  <c r="F146" i="8"/>
  <c r="F145" i="8"/>
  <c r="F152" i="8"/>
  <c r="F154" i="8"/>
  <c r="F140" i="9"/>
  <c r="F139" i="9"/>
  <c r="F138" i="9"/>
  <c r="F137" i="9"/>
  <c r="F136" i="9"/>
  <c r="F141" i="9"/>
  <c r="F135" i="9"/>
  <c r="F134" i="9"/>
  <c r="F7" i="13"/>
  <c r="F8" i="13"/>
  <c r="F4" i="11"/>
  <c r="F5" i="11"/>
  <c r="F3" i="11"/>
  <c r="F129" i="9"/>
  <c r="F128" i="9"/>
  <c r="F126" i="9"/>
  <c r="F125" i="9"/>
  <c r="F124" i="9"/>
  <c r="F123" i="9"/>
  <c r="F122" i="9"/>
  <c r="F121" i="9"/>
  <c r="F120" i="9"/>
  <c r="F116" i="9"/>
  <c r="F132" i="9"/>
  <c r="F131" i="9"/>
  <c r="F130" i="9"/>
  <c r="F127" i="9"/>
  <c r="F119" i="9"/>
  <c r="F118" i="9"/>
  <c r="F117" i="9"/>
  <c r="F115" i="9"/>
  <c r="F114" i="9"/>
  <c r="F113" i="9"/>
  <c r="F112" i="9"/>
  <c r="F26" i="9"/>
  <c r="F19" i="9"/>
  <c r="F24" i="9"/>
  <c r="F25" i="9"/>
  <c r="F23" i="9"/>
  <c r="F22" i="9"/>
  <c r="F10" i="9"/>
  <c r="F32" i="9"/>
  <c r="F11" i="9"/>
  <c r="F12" i="9"/>
  <c r="F17" i="9"/>
  <c r="F18" i="9"/>
  <c r="F13" i="9"/>
  <c r="F30" i="9"/>
  <c r="F27" i="9"/>
  <c r="F31" i="9"/>
  <c r="F28" i="9"/>
  <c r="F29" i="9"/>
  <c r="F34" i="9"/>
  <c r="F8" i="9"/>
  <c r="F7" i="9"/>
  <c r="F9" i="9"/>
  <c r="F15" i="9"/>
  <c r="F16" i="9"/>
  <c r="F33" i="9"/>
  <c r="F35" i="9"/>
  <c r="F21" i="9"/>
  <c r="F36" i="9"/>
  <c r="F67" i="9"/>
  <c r="F66" i="9"/>
  <c r="F60" i="9"/>
  <c r="F59" i="9"/>
  <c r="F58" i="9"/>
  <c r="F57" i="9"/>
  <c r="F53" i="9"/>
  <c r="F52" i="9"/>
  <c r="F51" i="9"/>
  <c r="F49" i="9"/>
  <c r="F46" i="9"/>
  <c r="F45" i="9"/>
  <c r="F44" i="9"/>
  <c r="F40" i="9"/>
  <c r="F39" i="9"/>
  <c r="F38" i="9"/>
  <c r="F69" i="9"/>
  <c r="F68" i="9"/>
  <c r="F65" i="9"/>
  <c r="F64" i="9"/>
  <c r="F63" i="9"/>
  <c r="F62" i="9"/>
  <c r="F61" i="9"/>
  <c r="F56" i="9"/>
  <c r="F55" i="9"/>
  <c r="F54" i="9"/>
  <c r="F50" i="9"/>
  <c r="F48" i="9"/>
  <c r="F47" i="9"/>
  <c r="F43" i="9"/>
  <c r="F42" i="9"/>
  <c r="F41" i="9"/>
  <c r="F37" i="9"/>
  <c r="F456" i="9"/>
  <c r="F490" i="9" l="1"/>
  <c r="F155" i="9"/>
  <c r="F442" i="9"/>
  <c r="F506" i="9"/>
  <c r="F66" i="10"/>
  <c r="F369" i="9"/>
  <c r="F154" i="9"/>
  <c r="F374" i="9"/>
  <c r="F419" i="9"/>
  <c r="F438" i="9"/>
  <c r="F487" i="9"/>
  <c r="F384" i="9"/>
  <c r="F368" i="9"/>
  <c r="F427" i="9"/>
  <c r="G2" i="16"/>
  <c r="P11" i="16" s="1"/>
  <c r="F6" i="13"/>
  <c r="F139" i="8"/>
  <c r="F454" i="9"/>
  <c r="F385" i="9"/>
  <c r="F50" i="10"/>
  <c r="F61" i="10"/>
  <c r="F158" i="9"/>
  <c r="F421" i="9"/>
  <c r="F425" i="9"/>
  <c r="F63" i="10"/>
  <c r="F258" i="9"/>
  <c r="F370" i="9"/>
  <c r="F264" i="9"/>
  <c r="F263" i="9"/>
  <c r="F265" i="9"/>
  <c r="F486" i="9"/>
  <c r="F420" i="9"/>
  <c r="F3" i="19"/>
  <c r="F16" i="10"/>
  <c r="F18" i="10"/>
  <c r="F17" i="10"/>
  <c r="F46" i="10"/>
  <c r="F47" i="10"/>
  <c r="O6" i="16" l="1"/>
  <c r="P6" i="16" s="1"/>
  <c r="F5" i="9"/>
  <c r="O5" i="16"/>
  <c r="P5" i="16" s="1"/>
  <c r="F3" i="10"/>
  <c r="F44" i="10"/>
  <c r="F14" i="10"/>
  <c r="F20" i="10"/>
  <c r="F45" i="10"/>
  <c r="F9" i="10"/>
  <c r="F12" i="10"/>
  <c r="F7" i="10"/>
  <c r="F6" i="10"/>
  <c r="F35" i="10"/>
  <c r="F32" i="10"/>
  <c r="F38" i="10"/>
  <c r="F43" i="10" l="1"/>
  <c r="F13" i="10"/>
  <c r="F31" i="10"/>
  <c r="F30" i="10"/>
  <c r="F39" i="10"/>
  <c r="F15" i="10"/>
  <c r="F19" i="10"/>
  <c r="F4" i="10"/>
  <c r="F5" i="10"/>
  <c r="F27" i="10"/>
  <c r="F28" i="10"/>
  <c r="F42" i="10"/>
  <c r="F29" i="10"/>
  <c r="F10" i="10"/>
  <c r="F8" i="10"/>
  <c r="F34" i="10"/>
  <c r="F33" i="10"/>
  <c r="F36" i="10"/>
  <c r="F37" i="10"/>
  <c r="F26" i="10"/>
  <c r="F25" i="10"/>
  <c r="F24" i="10"/>
  <c r="F11" i="10"/>
  <c r="F3" i="9"/>
  <c r="F40" i="10"/>
  <c r="F41" i="10"/>
  <c r="F150" i="9"/>
  <c r="F149" i="9"/>
  <c r="F152" i="9"/>
  <c r="F151" i="9"/>
  <c r="F148" i="9" l="1"/>
  <c r="F21" i="10"/>
  <c r="F22" i="10"/>
  <c r="F3" i="13"/>
  <c r="F23" i="10"/>
  <c r="O7" i="16" l="1"/>
  <c r="P7" i="16" s="1"/>
  <c r="O3" i="16"/>
  <c r="P3" i="16" s="1"/>
  <c r="O2" i="16"/>
  <c r="P2" i="16" l="1"/>
  <c r="O4" i="16"/>
  <c r="P4" i="16" l="1"/>
  <c r="O11" i="16"/>
  <c r="Q11" i="16" s="1"/>
  <c r="P13" i="16" l="1"/>
</calcChain>
</file>

<file path=xl/sharedStrings.xml><?xml version="1.0" encoding="utf-8"?>
<sst xmlns="http://schemas.openxmlformats.org/spreadsheetml/2006/main" count="10161" uniqueCount="1946">
  <si>
    <t>Item Nbr</t>
  </si>
  <si>
    <t>Item Desc 1</t>
  </si>
  <si>
    <t>UPC</t>
  </si>
  <si>
    <t>Vendor Stk Nbr</t>
  </si>
  <si>
    <t>WV SD BLACK (ONYX)</t>
  </si>
  <si>
    <t>S96</t>
  </si>
  <si>
    <t>WV SD ECRU</t>
  </si>
  <si>
    <t>S81</t>
  </si>
  <si>
    <t>WV SD LACQUER</t>
  </si>
  <si>
    <t>S21</t>
  </si>
  <si>
    <t>WV SD PANSY</t>
  </si>
  <si>
    <t>S78</t>
  </si>
  <si>
    <t>WV SD KELLY</t>
  </si>
  <si>
    <t>S36</t>
  </si>
  <si>
    <t>WV SD HUNTER</t>
  </si>
  <si>
    <t>S38</t>
  </si>
  <si>
    <t>WV SD HONEY</t>
  </si>
  <si>
    <t>S97</t>
  </si>
  <si>
    <t>WV SD CARAMEL</t>
  </si>
  <si>
    <t>S07</t>
  </si>
  <si>
    <t>WV SD OLIVE</t>
  </si>
  <si>
    <t>S35</t>
  </si>
  <si>
    <t>WV SD EGGPLANT</t>
  </si>
  <si>
    <t>S79</t>
  </si>
  <si>
    <t>WV SD SKY</t>
  </si>
  <si>
    <t>S40</t>
  </si>
  <si>
    <t>WV PCQ SLD LACQUER</t>
  </si>
  <si>
    <t>PCS1524</t>
  </si>
  <si>
    <t>WV PCQ MED DOT STEEL</t>
  </si>
  <si>
    <t>PCP150810</t>
  </si>
  <si>
    <t>WV PCQ SLD LAPIS</t>
  </si>
  <si>
    <t>PCS1526</t>
  </si>
  <si>
    <t>WV PCQ SLD INK</t>
  </si>
  <si>
    <t>PCS1522</t>
  </si>
  <si>
    <t>WV PCQ MED DOT ONYX</t>
  </si>
  <si>
    <t>PCP150807</t>
  </si>
  <si>
    <t>WV PCQ SLD ECRU</t>
  </si>
  <si>
    <t>PCS1516</t>
  </si>
  <si>
    <t>WV PCQ SLD MAGENTA</t>
  </si>
  <si>
    <t>PCS1530</t>
  </si>
  <si>
    <t>WV PCQ SLD EVERGREEN</t>
  </si>
  <si>
    <t>PCS1517</t>
  </si>
  <si>
    <t>WV PCQ SLD TRUFFLE</t>
  </si>
  <si>
    <t>PCS1541</t>
  </si>
  <si>
    <t>WV PCQ SLD LAGOON</t>
  </si>
  <si>
    <t>PCS1525</t>
  </si>
  <si>
    <t>WV PCQ SLD CARNATION</t>
  </si>
  <si>
    <t>PCS1507</t>
  </si>
  <si>
    <t>WV PCQ SLD HAZELNUT</t>
  </si>
  <si>
    <t>PCS1521</t>
  </si>
  <si>
    <t>WV PCQ SLD PANSY</t>
  </si>
  <si>
    <t>PCS1534</t>
  </si>
  <si>
    <t>WV PCQ SLD ONYX</t>
  </si>
  <si>
    <t>PCS1533</t>
  </si>
  <si>
    <t>WV PCQ SLD POPPY</t>
  </si>
  <si>
    <t>PCS1538</t>
  </si>
  <si>
    <t>WV PCQ MED DOT POPPY</t>
  </si>
  <si>
    <t>PCP150809</t>
  </si>
  <si>
    <t>WV PCQ BIG DOT CARN</t>
  </si>
  <si>
    <t>PCP150202</t>
  </si>
  <si>
    <t>WV PCQ SLD STEEL</t>
  </si>
  <si>
    <t>PCS1539</t>
  </si>
  <si>
    <t>WV PCQ SLD LILAC</t>
  </si>
  <si>
    <t>PCS1527</t>
  </si>
  <si>
    <t>WV SOLID WHITE</t>
  </si>
  <si>
    <t>PCS1543</t>
  </si>
  <si>
    <t>WV PCQ SLD SUNSHINE</t>
  </si>
  <si>
    <t>PCS1540</t>
  </si>
  <si>
    <t>WV PCQ SLD MERLOT</t>
  </si>
  <si>
    <t>PCS1532</t>
  </si>
  <si>
    <t>WV PCQ ANCHOR INK</t>
  </si>
  <si>
    <t>PCP150103</t>
  </si>
  <si>
    <t>WV PCQ SLD ZINNIA</t>
  </si>
  <si>
    <t>PCS1545</t>
  </si>
  <si>
    <t>WV PCQ SLD PDR BLUE</t>
  </si>
  <si>
    <t>PCS1535</t>
  </si>
  <si>
    <t>WV PCQ SLD LIPSTICK</t>
  </si>
  <si>
    <t>PCS1529</t>
  </si>
  <si>
    <t>WV PCQ SLD BUTTER</t>
  </si>
  <si>
    <t>PCS1506</t>
  </si>
  <si>
    <t>WV PCQ SLD BLUSH</t>
  </si>
  <si>
    <t>PCS1502</t>
  </si>
  <si>
    <t>WV SD AQUA</t>
  </si>
  <si>
    <t>S42</t>
  </si>
  <si>
    <t>WV PR BIG DOTS LGN</t>
  </si>
  <si>
    <t>G061003</t>
  </si>
  <si>
    <t>WV PCQ STRIPE STEEL</t>
  </si>
  <si>
    <t>PCP151406</t>
  </si>
  <si>
    <t>WV SD LAPIS</t>
  </si>
  <si>
    <t>S56</t>
  </si>
  <si>
    <t>WV SD TURQUOIS</t>
  </si>
  <si>
    <t>S45</t>
  </si>
  <si>
    <t>WV PCQ SLD DOVE</t>
  </si>
  <si>
    <t>PCS1515</t>
  </si>
  <si>
    <t>WV SD POWDER BLUE</t>
  </si>
  <si>
    <t>S49</t>
  </si>
  <si>
    <t>WV SD LGN</t>
  </si>
  <si>
    <t>S52</t>
  </si>
  <si>
    <t>WV SD MAGENTA</t>
  </si>
  <si>
    <t>S68</t>
  </si>
  <si>
    <t>WV PR BIG DOT MAG</t>
  </si>
  <si>
    <t>G091006</t>
  </si>
  <si>
    <t>WV PR BIG WHLS STEEL</t>
  </si>
  <si>
    <t>G031601</t>
  </si>
  <si>
    <t>WV SD GRASS</t>
  </si>
  <si>
    <t>S34</t>
  </si>
  <si>
    <t>WV PR ANCHORS INK</t>
  </si>
  <si>
    <t>G041103</t>
  </si>
  <si>
    <t>WV PCQ SLD KELLY</t>
  </si>
  <si>
    <t>PCS1523</t>
  </si>
  <si>
    <t>WV PR MED DOT GRASS</t>
  </si>
  <si>
    <t>G100908</t>
  </si>
  <si>
    <t>WV SD LIME</t>
  </si>
  <si>
    <t>S31</t>
  </si>
  <si>
    <t>WV PCQ PINDOT POPPY</t>
  </si>
  <si>
    <t>PCP151105</t>
  </si>
  <si>
    <t>WV PR MED DOT OYNX</t>
  </si>
  <si>
    <t>G010902</t>
  </si>
  <si>
    <t>WV PCQ DOT POP-BLK</t>
  </si>
  <si>
    <t>PCP150501</t>
  </si>
  <si>
    <t>WV SD SUNSHINE</t>
  </si>
  <si>
    <t>S03</t>
  </si>
  <si>
    <t>WV PR PIN DOT MAG</t>
  </si>
  <si>
    <t>G090806</t>
  </si>
  <si>
    <t>WV PR MED DOT PDR BL</t>
  </si>
  <si>
    <t>G050905</t>
  </si>
  <si>
    <t>WV PR BIG DOTS INK</t>
  </si>
  <si>
    <t>G041002</t>
  </si>
  <si>
    <t>WV SD GROTTO</t>
  </si>
  <si>
    <t>S44</t>
  </si>
  <si>
    <t>WV PR STRIPES INK</t>
  </si>
  <si>
    <t>G041702</t>
  </si>
  <si>
    <t>WV PR CHERRIES ONYX</t>
  </si>
  <si>
    <t>G011301</t>
  </si>
  <si>
    <t>WV SLD LILAC</t>
  </si>
  <si>
    <t>S74</t>
  </si>
  <si>
    <t>WV PCQ PIN DOT ONYX</t>
  </si>
  <si>
    <t>PCP151101</t>
  </si>
  <si>
    <t>WV SD CARNATION</t>
  </si>
  <si>
    <t>S64</t>
  </si>
  <si>
    <t>WV PR PINDOT STEEL</t>
  </si>
  <si>
    <t>G030802</t>
  </si>
  <si>
    <t>WV PR PIN DOTS INK</t>
  </si>
  <si>
    <t>G040803</t>
  </si>
  <si>
    <t>WV SD PEACOCK</t>
  </si>
  <si>
    <t>S46</t>
  </si>
  <si>
    <t>WV PR CHERRIES INK</t>
  </si>
  <si>
    <t>G041302</t>
  </si>
  <si>
    <t>WV SD CHINA BLUE</t>
  </si>
  <si>
    <t>S48</t>
  </si>
  <si>
    <t>WV SD CORAL</t>
  </si>
  <si>
    <t>S67</t>
  </si>
  <si>
    <t>WV SD TWILIGHT</t>
  </si>
  <si>
    <t>S57</t>
  </si>
  <si>
    <t>WV PC ANCHOR WHT-INK</t>
  </si>
  <si>
    <t>PCP150106</t>
  </si>
  <si>
    <t>WV PCQ MULTI DOT STL</t>
  </si>
  <si>
    <t>PCP150901</t>
  </si>
  <si>
    <t>WV SD CROCUS</t>
  </si>
  <si>
    <t>S77</t>
  </si>
  <si>
    <t>WV SD COBALT</t>
  </si>
  <si>
    <t>S53</t>
  </si>
  <si>
    <t>WV SD OCEAN</t>
  </si>
  <si>
    <t>S55</t>
  </si>
  <si>
    <t>WV PCQ SLD TURQUOIZ</t>
  </si>
  <si>
    <t>PCS1542</t>
  </si>
  <si>
    <t>WVPR MED DOTS STEEL</t>
  </si>
  <si>
    <t>G030902</t>
  </si>
  <si>
    <t>WV PR STRIPES STEEL</t>
  </si>
  <si>
    <t>G031701</t>
  </si>
  <si>
    <t>G092502</t>
  </si>
  <si>
    <t>WV PCQ SLD BRN SUGAR</t>
  </si>
  <si>
    <t>PCS1504</t>
  </si>
  <si>
    <t>WV PR MED DOTS CARN</t>
  </si>
  <si>
    <t>G080906</t>
  </si>
  <si>
    <t>WV PR DAMASK 2 ONYX</t>
  </si>
  <si>
    <t>G011401</t>
  </si>
  <si>
    <t>WV SD FEDERAL</t>
  </si>
  <si>
    <t>S54</t>
  </si>
  <si>
    <t>WV SD DAFFODIL</t>
  </si>
  <si>
    <t>S04</t>
  </si>
  <si>
    <t>WV PCQ SLD GRASS</t>
  </si>
  <si>
    <t>PCS1519</t>
  </si>
  <si>
    <t>WV PCQ BIG DOT POPPY</t>
  </si>
  <si>
    <t>PCP150206</t>
  </si>
  <si>
    <t>WV PR SM WHEELS GLCR</t>
  </si>
  <si>
    <t>G052401</t>
  </si>
  <si>
    <t>WV PCQ SLD COBALT</t>
  </si>
  <si>
    <t>PCS1511</t>
  </si>
  <si>
    <t>WV PR RAINDROP ONYX</t>
  </si>
  <si>
    <t>G011501</t>
  </si>
  <si>
    <t>WV PR MED DOTS AQUA</t>
  </si>
  <si>
    <t>G070904</t>
  </si>
  <si>
    <t>WV PCQ SLD CROCUS</t>
  </si>
  <si>
    <t>PCS1513</t>
  </si>
  <si>
    <t>WV PCQ MED DOT GRASS</t>
  </si>
  <si>
    <t>PCP150804</t>
  </si>
  <si>
    <t>WV PCQ SLD CARROT</t>
  </si>
  <si>
    <t>PCS1508</t>
  </si>
  <si>
    <t>WV SD CLOUD</t>
  </si>
  <si>
    <t>S93</t>
  </si>
  <si>
    <t>WV PCQ SLD BRIGHT GR</t>
  </si>
  <si>
    <t>PCS1503</t>
  </si>
  <si>
    <t>WV PCQ SLD WISTERIA</t>
  </si>
  <si>
    <t>PCS1544</t>
  </si>
  <si>
    <t>WV PAISLEY SPA</t>
  </si>
  <si>
    <t>D09G0415</t>
  </si>
  <si>
    <t>WV PCQ SLD BUBBLE GU</t>
  </si>
  <si>
    <t>PCS1505</t>
  </si>
  <si>
    <t>WV PCQ STRIPE INK</t>
  </si>
  <si>
    <t>PCP151404</t>
  </si>
  <si>
    <t>WV SD JUTE</t>
  </si>
  <si>
    <t>S86</t>
  </si>
  <si>
    <t>WV PCQ CHERRIES ONYX</t>
  </si>
  <si>
    <t>PCP150301</t>
  </si>
  <si>
    <t>WV PR PIN DOTS ONYX</t>
  </si>
  <si>
    <t>G010802</t>
  </si>
  <si>
    <t>WV PCQ SLD GROTTO</t>
  </si>
  <si>
    <t>PCS1520</t>
  </si>
  <si>
    <t>WV PR CHER SUNSHINE</t>
  </si>
  <si>
    <t>G121304</t>
  </si>
  <si>
    <t>WV CF MUSLIN</t>
  </si>
  <si>
    <t>CFM1501</t>
  </si>
  <si>
    <t>WV PCQ MED DOT INK</t>
  </si>
  <si>
    <t>PCP150805</t>
  </si>
  <si>
    <t>PCS1528</t>
  </si>
  <si>
    <t>WV SD WISTERIA</t>
  </si>
  <si>
    <t>S75</t>
  </si>
  <si>
    <t>WV SD INK</t>
  </si>
  <si>
    <t>S59</t>
  </si>
  <si>
    <t>WV PC MEDDOT MAGENTA</t>
  </si>
  <si>
    <t>PCP150806</t>
  </si>
  <si>
    <t>WV PR MED DOT LILAC</t>
  </si>
  <si>
    <t>G130907</t>
  </si>
  <si>
    <t>DIAPER CLOTH</t>
  </si>
  <si>
    <t>B01D0115</t>
  </si>
  <si>
    <t>WV PR BIG DOT SUNSHN</t>
  </si>
  <si>
    <t>G121008</t>
  </si>
  <si>
    <t>WV PCQ SLD POND</t>
  </si>
  <si>
    <t>PCS1537</t>
  </si>
  <si>
    <t>WV SD BALLET SLIPPER</t>
  </si>
  <si>
    <t>S61</t>
  </si>
  <si>
    <t>WV PR ANCHORS ONYX</t>
  </si>
  <si>
    <t>G011101</t>
  </si>
  <si>
    <t>WV PCQ MED DOT AQUA</t>
  </si>
  <si>
    <t>PCP150801</t>
  </si>
  <si>
    <t>WV PCQ PINDOT INK</t>
  </si>
  <si>
    <t>PCP151103</t>
  </si>
  <si>
    <t>WV PR STRIPES CARN</t>
  </si>
  <si>
    <t>G081705</t>
  </si>
  <si>
    <t>WV PR BIG DOT PDR BL</t>
  </si>
  <si>
    <t>G051004</t>
  </si>
  <si>
    <t>WV JACO FRES BROWN</t>
  </si>
  <si>
    <t>D015G0115</t>
  </si>
  <si>
    <t>WV SD TEA BERRY</t>
  </si>
  <si>
    <t>S71</t>
  </si>
  <si>
    <t>WV SD GLACIER</t>
  </si>
  <si>
    <t>S47</t>
  </si>
  <si>
    <t>WV PCQ SLD MAIZE</t>
  </si>
  <si>
    <t>PCS1531</t>
  </si>
  <si>
    <t>S24</t>
  </si>
  <si>
    <t>WV SD BUBBLE GUM</t>
  </si>
  <si>
    <t>S65</t>
  </si>
  <si>
    <t>WV PR BIG DOTS CARN</t>
  </si>
  <si>
    <t>G081005</t>
  </si>
  <si>
    <t>WV PR HEARTS CARN</t>
  </si>
  <si>
    <t>G082501</t>
  </si>
  <si>
    <t>WV SD IRIS</t>
  </si>
  <si>
    <t>S76</t>
  </si>
  <si>
    <t>WV SD BRIGHT GREEN</t>
  </si>
  <si>
    <t>S32</t>
  </si>
  <si>
    <t>WV PR DTSY FLR ORNGE</t>
  </si>
  <si>
    <t>G141803</t>
  </si>
  <si>
    <t>WV SD BLUSH</t>
  </si>
  <si>
    <t>S63</t>
  </si>
  <si>
    <t>WV PR MINI BOUQ INK</t>
  </si>
  <si>
    <t>G040402</t>
  </si>
  <si>
    <t>WV SOLID DKGRAY</t>
  </si>
  <si>
    <t>DG0215</t>
  </si>
  <si>
    <t>WV PCQ SLD DAFFODIL</t>
  </si>
  <si>
    <t>PCS1514</t>
  </si>
  <si>
    <t>WV PAISLEY BLACK</t>
  </si>
  <si>
    <t>D09G0115</t>
  </si>
  <si>
    <t>WV PCQ SLD PEACOCK</t>
  </si>
  <si>
    <t>PCS1536</t>
  </si>
  <si>
    <t>WV SOLID BLACK</t>
  </si>
  <si>
    <t>DG0315</t>
  </si>
  <si>
    <t>WV SD MAIZE</t>
  </si>
  <si>
    <t>S02</t>
  </si>
  <si>
    <t>WV FOULARD SPA</t>
  </si>
  <si>
    <t>D07G0315</t>
  </si>
  <si>
    <t>WV PCQ SLD CORAL</t>
  </si>
  <si>
    <t>PCS1512</t>
  </si>
  <si>
    <t>WV SD CRIMSON</t>
  </si>
  <si>
    <t>S20</t>
  </si>
  <si>
    <t>PCQ SLD CHINA BLUE</t>
  </si>
  <si>
    <t>PCS1510</t>
  </si>
  <si>
    <t>WV SD MINT JULEP</t>
  </si>
  <si>
    <t>S33</t>
  </si>
  <si>
    <t>WV SD FLINT</t>
  </si>
  <si>
    <t>S91</t>
  </si>
  <si>
    <t>WV SD SLATE</t>
  </si>
  <si>
    <t>S51</t>
  </si>
  <si>
    <t>WV SD MALACHITE</t>
  </si>
  <si>
    <t>S37</t>
  </si>
  <si>
    <t>WV LATTICE CREAM/KHA</t>
  </si>
  <si>
    <t>D05G0315</t>
  </si>
  <si>
    <t>WV LATTICE RED/GLD</t>
  </si>
  <si>
    <t>D05G0215</t>
  </si>
  <si>
    <t>WV JACO SCRL BLACK</t>
  </si>
  <si>
    <t>D01G0215</t>
  </si>
  <si>
    <t>WV SD PINK TINT</t>
  </si>
  <si>
    <t>S60</t>
  </si>
  <si>
    <t>WV PCQ SLD GLACIER</t>
  </si>
  <si>
    <t>PCS1518</t>
  </si>
  <si>
    <t>WV LATTICE CHAR/GREY</t>
  </si>
  <si>
    <t>D05G0115</t>
  </si>
  <si>
    <t>WV JACO SCROLL GREY</t>
  </si>
  <si>
    <t>D01G0115</t>
  </si>
  <si>
    <t>WV JACOBEAN SCRL RED</t>
  </si>
  <si>
    <t>D01G0315</t>
  </si>
  <si>
    <t>WV TWILL PLAID RED</t>
  </si>
  <si>
    <t>D08G0215</t>
  </si>
  <si>
    <t>WV SD PUMPKIN</t>
  </si>
  <si>
    <t>S10</t>
  </si>
  <si>
    <t>WV TWILL PLAID BRN</t>
  </si>
  <si>
    <t>D08G0315</t>
  </si>
  <si>
    <t>WV SOLID KHAKI</t>
  </si>
  <si>
    <t>DG0615</t>
  </si>
  <si>
    <t>WV SD DESERT SAND</t>
  </si>
  <si>
    <t>S62</t>
  </si>
  <si>
    <t>WV PAISLEY BROWN</t>
  </si>
  <si>
    <t>D09G0315</t>
  </si>
  <si>
    <t>WV SOLID RED</t>
  </si>
  <si>
    <t>DG0415</t>
  </si>
  <si>
    <t>WV SD ESPRESSO</t>
  </si>
  <si>
    <t>S17</t>
  </si>
  <si>
    <t>WV SD CHOCOLATE</t>
  </si>
  <si>
    <t>S16</t>
  </si>
  <si>
    <t>WV TWILL PLAID BLK</t>
  </si>
  <si>
    <t>D08G0115</t>
  </si>
  <si>
    <t>WV PR BIG DOT KELLY</t>
  </si>
  <si>
    <t>G111007</t>
  </si>
  <si>
    <t>WV DAMASK FRES BLACK</t>
  </si>
  <si>
    <t>D010G0115</t>
  </si>
  <si>
    <t>WV SD FERN</t>
  </si>
  <si>
    <t>S29</t>
  </si>
  <si>
    <t>WV SD SEDONA</t>
  </si>
  <si>
    <t>S14</t>
  </si>
  <si>
    <t>WV SD STEEL</t>
  </si>
  <si>
    <t>S94</t>
  </si>
  <si>
    <t>WV PR STRIPE KELLY</t>
  </si>
  <si>
    <t>G111707</t>
  </si>
  <si>
    <t>WV SD FLAME</t>
  </si>
  <si>
    <t>S13</t>
  </si>
  <si>
    <t>WV SD PRUSSIAN</t>
  </si>
  <si>
    <t>S58</t>
  </si>
  <si>
    <t>WV PCQ BIG DOT SUNSH</t>
  </si>
  <si>
    <t>PCP150207</t>
  </si>
  <si>
    <t>SKU#</t>
  </si>
  <si>
    <t>Type</t>
  </si>
  <si>
    <t>Baby group</t>
  </si>
  <si>
    <t>Precut</t>
  </si>
  <si>
    <t>54in duck</t>
  </si>
  <si>
    <t>Print</t>
  </si>
  <si>
    <t>Solids</t>
  </si>
  <si>
    <t>Quantity</t>
  </si>
  <si>
    <t>Order</t>
  </si>
  <si>
    <t>FQ Prints</t>
  </si>
  <si>
    <t>FQ Solids</t>
  </si>
  <si>
    <t>Prints</t>
  </si>
  <si>
    <t>2ydcut muslin</t>
  </si>
  <si>
    <t>54duck</t>
  </si>
  <si>
    <t>Baby Diaper</t>
  </si>
  <si>
    <t>Prime Item Number</t>
  </si>
  <si>
    <t>Prints16</t>
  </si>
  <si>
    <t>G160304</t>
  </si>
  <si>
    <t>WV LRG FLORAL WHITE</t>
  </si>
  <si>
    <t>G160203</t>
  </si>
  <si>
    <t>WV BANDANA AQUA-GREY</t>
  </si>
  <si>
    <t>G160204</t>
  </si>
  <si>
    <t>WV BANDANA CARN-GREY</t>
  </si>
  <si>
    <t>G160206</t>
  </si>
  <si>
    <t>WV BANDANA ONYX</t>
  </si>
  <si>
    <t>G160502</t>
  </si>
  <si>
    <t>G160702</t>
  </si>
  <si>
    <t>WV BUTTERFLY AQUA-SIL</t>
  </si>
  <si>
    <t>G160703</t>
  </si>
  <si>
    <t>WV BUTTERFLY CARN-SL</t>
  </si>
  <si>
    <t>G160101</t>
  </si>
  <si>
    <t>WV ANCHOR INK SILVER</t>
  </si>
  <si>
    <t>G160103</t>
  </si>
  <si>
    <t>WV ANCHOR AQUA-WHITE</t>
  </si>
  <si>
    <t>G160202</t>
  </si>
  <si>
    <t>WV BANDANA INK-LAPIS</t>
  </si>
  <si>
    <t>G160302</t>
  </si>
  <si>
    <t>WV SM FLORAL CARN</t>
  </si>
  <si>
    <t>G160303</t>
  </si>
  <si>
    <t>WV MED FLORAL CARN</t>
  </si>
  <si>
    <t>G160401</t>
  </si>
  <si>
    <t>WV BANDANA MAGENTA</t>
  </si>
  <si>
    <t>G160403</t>
  </si>
  <si>
    <t>WV SM FLORAL INK</t>
  </si>
  <si>
    <t>G160701</t>
  </si>
  <si>
    <t>WV SM FLORAL AQUA</t>
  </si>
  <si>
    <t>Homespun</t>
  </si>
  <si>
    <t>HS160101</t>
  </si>
  <si>
    <t>WV HOMESPUN 1/8" RED</t>
  </si>
  <si>
    <t>HS160102</t>
  </si>
  <si>
    <t>WV HOMESPUN PLD RED</t>
  </si>
  <si>
    <t>Gingham</t>
  </si>
  <si>
    <t>GG160101</t>
  </si>
  <si>
    <t>WV 1" GINGHAM INK</t>
  </si>
  <si>
    <t>GG160102</t>
  </si>
  <si>
    <t>WV 1" GINGHAM ONYX</t>
  </si>
  <si>
    <t>GG160201</t>
  </si>
  <si>
    <t>WV 1/8" GINGHAM CARN</t>
  </si>
  <si>
    <t>GG160202</t>
  </si>
  <si>
    <t>WV 1/8" GINGHAM INK</t>
  </si>
  <si>
    <t>GG160203</t>
  </si>
  <si>
    <t>WV 1/8" GINGHAM ONYX</t>
  </si>
  <si>
    <t>GG160204</t>
  </si>
  <si>
    <t>WV 1/8" GING PDR BLU</t>
  </si>
  <si>
    <t>Fleece</t>
  </si>
  <si>
    <t>FLC16001</t>
  </si>
  <si>
    <t>FLC CHEV BLACK</t>
  </si>
  <si>
    <t>FLC16002</t>
  </si>
  <si>
    <t>FLC CHEV WHITE</t>
  </si>
  <si>
    <t>FLC16003</t>
  </si>
  <si>
    <t>FLC CHEV CHAR</t>
  </si>
  <si>
    <t>Print16</t>
  </si>
  <si>
    <t/>
  </si>
  <si>
    <t>Fabric Type</t>
  </si>
  <si>
    <t>WV 54 SLD RED</t>
  </si>
  <si>
    <t>WV 54 SLD BLACK</t>
  </si>
  <si>
    <t>WV 54 SLD DKGRAY</t>
  </si>
  <si>
    <t>54duck17</t>
  </si>
  <si>
    <t>WV 54 OGEE CURL BLK</t>
  </si>
  <si>
    <t>C54D0201</t>
  </si>
  <si>
    <t>WV 54 OGEE GREY</t>
  </si>
  <si>
    <t>C54D0205</t>
  </si>
  <si>
    <t>WV 54 SLD AZURE</t>
  </si>
  <si>
    <t>CD54001</t>
  </si>
  <si>
    <t>WV 54 SLD BROWN</t>
  </si>
  <si>
    <t>CD54002</t>
  </si>
  <si>
    <t>WV 54 SLD HENNA</t>
  </si>
  <si>
    <t>CD54003</t>
  </si>
  <si>
    <t>WV 54 SLD HUNTER</t>
  </si>
  <si>
    <t>CD54005</t>
  </si>
  <si>
    <t>WV 54 SLD KELLY</t>
  </si>
  <si>
    <t>CD54006</t>
  </si>
  <si>
    <t>WV 54 SLD LTGREY</t>
  </si>
  <si>
    <t>CD54007</t>
  </si>
  <si>
    <t>WV 54 SLD MAIZE</t>
  </si>
  <si>
    <t>CD54008</t>
  </si>
  <si>
    <t>WV 54 SLD NAVY</t>
  </si>
  <si>
    <t>CD54009</t>
  </si>
  <si>
    <t>WV 54 SLD OLIVE</t>
  </si>
  <si>
    <t>CD54010</t>
  </si>
  <si>
    <t>WV 54 SLD PURPLE</t>
  </si>
  <si>
    <t>CD54011</t>
  </si>
  <si>
    <t>WV 54 SLD SNOW</t>
  </si>
  <si>
    <t>CD54012</t>
  </si>
  <si>
    <t>WV 54 SLD SPA</t>
  </si>
  <si>
    <t>CD54013</t>
  </si>
  <si>
    <t>WV 54 SLD TEAL</t>
  </si>
  <si>
    <t>CD54014</t>
  </si>
  <si>
    <t>WV 54 SLD WHITE</t>
  </si>
  <si>
    <t>CD54015</t>
  </si>
  <si>
    <t>WV 54 TEXTURE BLACK</t>
  </si>
  <si>
    <t>C54D0302</t>
  </si>
  <si>
    <t>WV 54 TEXTURE COCOA</t>
  </si>
  <si>
    <t>C54D0303</t>
  </si>
  <si>
    <t>WV 54 TEXTURE CREME</t>
  </si>
  <si>
    <t>C54D0304</t>
  </si>
  <si>
    <t>WV 54 TEXTURE DKGREY</t>
  </si>
  <si>
    <t>C54D0305</t>
  </si>
  <si>
    <t>WV 54 TEXTURE LTGREY</t>
  </si>
  <si>
    <t>C54D0306</t>
  </si>
  <si>
    <t>WV 54 TEXTURE NAVY</t>
  </si>
  <si>
    <t>C54D0307</t>
  </si>
  <si>
    <t>WV 54 TEXTURE RUBY</t>
  </si>
  <si>
    <t>C54D0308</t>
  </si>
  <si>
    <t>WV 54 TEXTURED SPA</t>
  </si>
  <si>
    <t>C54D0310</t>
  </si>
  <si>
    <t>Solids17</t>
  </si>
  <si>
    <t>WV SD REEF</t>
  </si>
  <si>
    <t>S98</t>
  </si>
  <si>
    <t>WV SLD BARN RED</t>
  </si>
  <si>
    <t>S99</t>
  </si>
  <si>
    <t>WV SLD BLACK 15-YARD</t>
  </si>
  <si>
    <t>S96-1</t>
  </si>
  <si>
    <t>WV SLD GOLD</t>
  </si>
  <si>
    <t>S100</t>
  </si>
  <si>
    <t>WV SLD PARCHMENT</t>
  </si>
  <si>
    <t>S101</t>
  </si>
  <si>
    <t>WV SLD PEARL</t>
  </si>
  <si>
    <t>S102</t>
  </si>
  <si>
    <t>WV SLD STABLE BROWN</t>
  </si>
  <si>
    <t>S104</t>
  </si>
  <si>
    <t>WV SLD STRAW</t>
  </si>
  <si>
    <t>S105</t>
  </si>
  <si>
    <t>WV SLD TOMATO RED</t>
  </si>
  <si>
    <t>S106</t>
  </si>
  <si>
    <t>Prints17</t>
  </si>
  <si>
    <t>WV MD DOT SUNSHINE</t>
  </si>
  <si>
    <t>G170001</t>
  </si>
  <si>
    <t>WV PR BIG DOTS BLACK</t>
  </si>
  <si>
    <t>G170002</t>
  </si>
  <si>
    <t>WV PR MD DOT INK</t>
  </si>
  <si>
    <t>G170003</t>
  </si>
  <si>
    <t>WV PCQ CACTUS TEAL</t>
  </si>
  <si>
    <t>PCP170101</t>
  </si>
  <si>
    <t>WV PCQ FEATHER ONYX</t>
  </si>
  <si>
    <t>PCP170202</t>
  </si>
  <si>
    <t>WV PCQ FEATHER STEEL</t>
  </si>
  <si>
    <t>PCP170203</t>
  </si>
  <si>
    <t>WV PCQ FLAMINGO WHT</t>
  </si>
  <si>
    <t>PCP170301</t>
  </si>
  <si>
    <t>WV PCQ SHARK INK</t>
  </si>
  <si>
    <t>PCP170401</t>
  </si>
  <si>
    <t>FQ Prints17</t>
  </si>
  <si>
    <t>Roundup</t>
  </si>
  <si>
    <t>1 yard cut prints</t>
  </si>
  <si>
    <t>WVFCPR GING 1 ONYX</t>
  </si>
  <si>
    <t>FC1GG02</t>
  </si>
  <si>
    <t>WVFCPR GING 1/8 ONYX</t>
  </si>
  <si>
    <t>FC1GG04</t>
  </si>
  <si>
    <t>WVFCPR GI 1/8 P BL</t>
  </si>
  <si>
    <t>FC1GG05</t>
  </si>
  <si>
    <t>WVFCPR GINGHAM IN</t>
  </si>
  <si>
    <t>FC1GG06</t>
  </si>
  <si>
    <t>WVFCPR GING 1/8 CARN</t>
  </si>
  <si>
    <t>FC1GG07</t>
  </si>
  <si>
    <t>WVFCPR ANC INK-SIL</t>
  </si>
  <si>
    <t>FC1PR002</t>
  </si>
  <si>
    <t>WVFCPR BDNA CRN GRY</t>
  </si>
  <si>
    <t>FC1PR003</t>
  </si>
  <si>
    <t>WVFCPR BANDANA MEGA</t>
  </si>
  <si>
    <t>FC1PR004</t>
  </si>
  <si>
    <t>FC1PR005</t>
  </si>
  <si>
    <t>WVFCPR BG DOT SS</t>
  </si>
  <si>
    <t>FC1PR006</t>
  </si>
  <si>
    <t>WVFCPR BGDT ONYX</t>
  </si>
  <si>
    <t>FC1PR008</t>
  </si>
  <si>
    <t>WVFCPR BIG DOT CARNA</t>
  </si>
  <si>
    <t>FC1PR009</t>
  </si>
  <si>
    <t>WVFCPR BIG DOT INK</t>
  </si>
  <si>
    <t>FC1PR010</t>
  </si>
  <si>
    <t>WVFCPR BIG DOT KELLY</t>
  </si>
  <si>
    <t>FC1PR011</t>
  </si>
  <si>
    <t>WVFCPR BIG WHLS STL</t>
  </si>
  <si>
    <t>FC1PR013</t>
  </si>
  <si>
    <t>WVFCPR BIGDOT MAG</t>
  </si>
  <si>
    <t>FC1PR014</t>
  </si>
  <si>
    <t>WVFCPR BNDA INK LPS</t>
  </si>
  <si>
    <t>FC1PR017</t>
  </si>
  <si>
    <t>WVFCPR BNDA ONYX</t>
  </si>
  <si>
    <t>FC1PR018</t>
  </si>
  <si>
    <t>FC1PR022</t>
  </si>
  <si>
    <t>WVFCPR CHERRIES ONYX</t>
  </si>
  <si>
    <t>FC1PR023</t>
  </si>
  <si>
    <t>WVFCPR CHERRIES SS</t>
  </si>
  <si>
    <t>FC1PR024</t>
  </si>
  <si>
    <t>WVFCPR LRG FLORAL WH</t>
  </si>
  <si>
    <t>FC1PR033</t>
  </si>
  <si>
    <t>WVFCPR MD DOT PDRBL</t>
  </si>
  <si>
    <t>FC1PR034</t>
  </si>
  <si>
    <t>WVFCPR MD DT STL</t>
  </si>
  <si>
    <t>FC1PR037</t>
  </si>
  <si>
    <t>WVFCPR MED DOT AQUA</t>
  </si>
  <si>
    <t>FC1PR038</t>
  </si>
  <si>
    <t>WVFCPR MED DOT GRASS</t>
  </si>
  <si>
    <t>FC1PR040</t>
  </si>
  <si>
    <t>WVFCPR MED DOT INK</t>
  </si>
  <si>
    <t>FC1PR041</t>
  </si>
  <si>
    <t>WVFCPR MED DOT LILAC</t>
  </si>
  <si>
    <t>FC1PR042</t>
  </si>
  <si>
    <t>WVFCPR MED DOT ONYX</t>
  </si>
  <si>
    <t>FC1PR043</t>
  </si>
  <si>
    <t>WVFCPR QDRFL PDBL-GY</t>
  </si>
  <si>
    <t>FC1PR053</t>
  </si>
  <si>
    <t>WVFCPR RAINDROP ONYX</t>
  </si>
  <si>
    <t>FC1PR054</t>
  </si>
  <si>
    <t>WVFCPR SM FLORAL AQU</t>
  </si>
  <si>
    <t>FC1PR055</t>
  </si>
  <si>
    <t>WVFCPR SM FLORAL CAR</t>
  </si>
  <si>
    <t>FC1PR056</t>
  </si>
  <si>
    <t>WVFCPR SM FLORAL INK</t>
  </si>
  <si>
    <t>FC1PR057</t>
  </si>
  <si>
    <t>WVFCPR STRIPES INK</t>
  </si>
  <si>
    <t>FC1PR061</t>
  </si>
  <si>
    <t>WVFCPR STRIPES STL</t>
  </si>
  <si>
    <t>FC1PR062</t>
  </si>
  <si>
    <t>2 yard cut 45duck</t>
  </si>
  <si>
    <t>WV45FC COR SHELL SPA</t>
  </si>
  <si>
    <t>2 yard cut diaper cloth</t>
  </si>
  <si>
    <t>FC DIAPER CLOTH</t>
  </si>
  <si>
    <t>FC2DC01</t>
  </si>
  <si>
    <t>WVFCPR ANCHOR INK</t>
  </si>
  <si>
    <t>FC1PR078</t>
  </si>
  <si>
    <t>WVFCPR HEARTS MAGEN</t>
  </si>
  <si>
    <t>FC1PR079</t>
  </si>
  <si>
    <t>WVFCPR MINI BOUQ INK</t>
  </si>
  <si>
    <t>FC1PR083</t>
  </si>
  <si>
    <t>1.5 yard cut fleece</t>
  </si>
  <si>
    <t>3 yards cut solid</t>
  </si>
  <si>
    <t>FC3SD003</t>
  </si>
  <si>
    <t>FC WV SD INK 3YD</t>
  </si>
  <si>
    <t>FC3SD002</t>
  </si>
  <si>
    <t>FC WV SD STEEL 3YD</t>
  </si>
  <si>
    <t>FC3SD001</t>
  </si>
  <si>
    <t>FC WV SD ONYX 3YD</t>
  </si>
  <si>
    <t>FC3SD005</t>
  </si>
  <si>
    <t>FC WV SD ECRU 3YD</t>
  </si>
  <si>
    <t>FC3SD004</t>
  </si>
  <si>
    <t>FC WV SD GROTTO 3YD</t>
  </si>
  <si>
    <t>2 yards cut solid</t>
  </si>
  <si>
    <t>FC2SD007</t>
  </si>
  <si>
    <t>FC WV SD STEEL 2YD</t>
  </si>
  <si>
    <t>FC2SD006</t>
  </si>
  <si>
    <t>FC WV SD PANSY 2YD</t>
  </si>
  <si>
    <t>FC2SD005</t>
  </si>
  <si>
    <t>FC WV SD ONYX 2YD</t>
  </si>
  <si>
    <t>FC2SD004</t>
  </si>
  <si>
    <t>FC WV SD LAPIS 2YD</t>
  </si>
  <si>
    <t>FC2SD003</t>
  </si>
  <si>
    <t>FC WV SD INK 2YD</t>
  </si>
  <si>
    <t>FC2SD008</t>
  </si>
  <si>
    <t>FC WV SD WISTERIA 2YD</t>
  </si>
  <si>
    <t>FC2SD002</t>
  </si>
  <si>
    <t>FC WV SD GROTTO 2YD</t>
  </si>
  <si>
    <t>FC2SD001</t>
  </si>
  <si>
    <t>FC WV SD ECRU 2YD</t>
  </si>
  <si>
    <t>FC1HFLC06</t>
  </si>
  <si>
    <t>FCFLC CHEV WHT</t>
  </si>
  <si>
    <t>FC1HFLC04</t>
  </si>
  <si>
    <t>FCFLC CHEV CHAR</t>
  </si>
  <si>
    <t>FC1HFLC03</t>
  </si>
  <si>
    <t>FCFLC CHEV BLK</t>
  </si>
  <si>
    <t>FC1HFLC07</t>
  </si>
  <si>
    <t>FCFLC RED/BLK SHERPA</t>
  </si>
  <si>
    <t>FC1HFLN03</t>
  </si>
  <si>
    <t>FC1HFLN02</t>
  </si>
  <si>
    <t>FC1HFLN01</t>
  </si>
  <si>
    <t>1 yard solid</t>
  </si>
  <si>
    <t>FC1SD018</t>
  </si>
  <si>
    <t>FC WV SD STEEL 1YD</t>
  </si>
  <si>
    <t>FC1SD017</t>
  </si>
  <si>
    <t>FC WV SD PROV BLUE 1YD</t>
  </si>
  <si>
    <t>FC1SD015</t>
  </si>
  <si>
    <t>FC WV SD PANSY 1YD</t>
  </si>
  <si>
    <t>FC1SD014</t>
  </si>
  <si>
    <t>FC WV SD ONYX 1YD</t>
  </si>
  <si>
    <t>FC1SD013</t>
  </si>
  <si>
    <t>FC WV SD MAGENTA 1YD</t>
  </si>
  <si>
    <t>FC1SD012</t>
  </si>
  <si>
    <t>FC WV SD LGN 1YD</t>
  </si>
  <si>
    <t>FC1SD011</t>
  </si>
  <si>
    <t>FC WV SD LAPIS 1YD</t>
  </si>
  <si>
    <t>FC1SD010</t>
  </si>
  <si>
    <t>FC WV SD KELLY 1YD</t>
  </si>
  <si>
    <t>FC1SD009</t>
  </si>
  <si>
    <t>FC WV SD INK 1YD</t>
  </si>
  <si>
    <t>FC1SD005</t>
  </si>
  <si>
    <t>FC WV SD DEW</t>
  </si>
  <si>
    <t>FC1SD021</t>
  </si>
  <si>
    <t>FC WV SD WISTERIA 1YD</t>
  </si>
  <si>
    <t>FC1SD020</t>
  </si>
  <si>
    <t>FC WV SD TURQUOIS 1YD</t>
  </si>
  <si>
    <t>FC1SD019</t>
  </si>
  <si>
    <t>FC WV SD SUNSHINE 1YD</t>
  </si>
  <si>
    <t>FC1SD016</t>
  </si>
  <si>
    <t>FC WV SD POWDER BLUE 1YD</t>
  </si>
  <si>
    <t>FC1SD008</t>
  </si>
  <si>
    <t>FC WV SD GROTTO 1YD</t>
  </si>
  <si>
    <t>FC1SD007</t>
  </si>
  <si>
    <t>FC WV SD GRASS 1YD</t>
  </si>
  <si>
    <t>FC1SD006</t>
  </si>
  <si>
    <t>FC WV SD ECRU 1YD</t>
  </si>
  <si>
    <t>FC1SD004</t>
  </si>
  <si>
    <t>FC WV SD CORAL 1YD</t>
  </si>
  <si>
    <t>FC1SD003</t>
  </si>
  <si>
    <t>FC WV SD CARNATION 1YD</t>
  </si>
  <si>
    <t>FC1SD002</t>
  </si>
  <si>
    <t>FC WV SD BUBBLE GUM 1YD</t>
  </si>
  <si>
    <t>FC1SD001</t>
  </si>
  <si>
    <t>FC WV SD AQUA 1YD</t>
  </si>
  <si>
    <t>FC1PR125</t>
  </si>
  <si>
    <t>FC1PR122</t>
  </si>
  <si>
    <t>FC WV PR SM FLR DEW GRY</t>
  </si>
  <si>
    <t>FC1PR121</t>
  </si>
  <si>
    <t>FC WV PR SM DOT YELLOW</t>
  </si>
  <si>
    <t>FC1PR115</t>
  </si>
  <si>
    <t>FC WV PR MAG XLG DOT</t>
  </si>
  <si>
    <t>FC1PR113</t>
  </si>
  <si>
    <t>FC WV PR LG DOT PROV BLUE/WHT</t>
  </si>
  <si>
    <t>FC1PR112</t>
  </si>
  <si>
    <t>FC WV PR LG DOT ONYX</t>
  </si>
  <si>
    <t>FC1PR111</t>
  </si>
  <si>
    <t>FC1PR110</t>
  </si>
  <si>
    <t>FC WV PR LF FLRL ONYX</t>
  </si>
  <si>
    <t>FC1PR106</t>
  </si>
  <si>
    <t>FC WV PR HYDRAN PROV BLUE</t>
  </si>
  <si>
    <t>FC1PR105</t>
  </si>
  <si>
    <t>FC WV PR HYDRAN DEW</t>
  </si>
  <si>
    <t>FC1PR104</t>
  </si>
  <si>
    <t>FC WV PR GREY WHT FLORAL</t>
  </si>
  <si>
    <t>FC1PR100</t>
  </si>
  <si>
    <t>FC WV PR FLORAL LILAC</t>
  </si>
  <si>
    <t>FC1PR097</t>
  </si>
  <si>
    <t>FC WV PR DOT PROV BLUE</t>
  </si>
  <si>
    <t>FC1PR096</t>
  </si>
  <si>
    <t>FC WV PR CORAL WTR CLR FLORAL</t>
  </si>
  <si>
    <t>FC1PR095</t>
  </si>
  <si>
    <t>FC1PR094</t>
  </si>
  <si>
    <t>FC WV PR CORAL SM DOT</t>
  </si>
  <si>
    <t>FC1PR087</t>
  </si>
  <si>
    <t>FC WV PR CORAL BURST</t>
  </si>
  <si>
    <t>FC1PR086</t>
  </si>
  <si>
    <t>FC WV PR CORAL ABSTRACT FRUIT</t>
  </si>
  <si>
    <t>FC1PR085</t>
  </si>
  <si>
    <t>FC WV PR BURST PROV BLUE</t>
  </si>
  <si>
    <t>FC1PR103</t>
  </si>
  <si>
    <t>FC WV PR GLITTER WHITE</t>
  </si>
  <si>
    <t>FC1PR102</t>
  </si>
  <si>
    <t>FC WV PR GLITTER DEW</t>
  </si>
  <si>
    <t>FC1PR124</t>
  </si>
  <si>
    <t>FC WV PR WISTERIA PLAID</t>
  </si>
  <si>
    <t>FC1PR123</t>
  </si>
  <si>
    <t>FC WV PR WISTERIA FLORAL</t>
  </si>
  <si>
    <t>FC1PR120</t>
  </si>
  <si>
    <t>FC WV PR RANDOMDOT GROTTO</t>
  </si>
  <si>
    <t>FC1PR119</t>
  </si>
  <si>
    <t>FC WV PR PLD PROV BLUE</t>
  </si>
  <si>
    <t>FC1PR118</t>
  </si>
  <si>
    <t>FC WV PR PLAID GRASS</t>
  </si>
  <si>
    <t>FC1PR117</t>
  </si>
  <si>
    <t>FC WV PR PLAID DEW</t>
  </si>
  <si>
    <t>FC1PR116</t>
  </si>
  <si>
    <t>FC WV PR PAISLEY DEW GRY</t>
  </si>
  <si>
    <t>FC1PR109</t>
  </si>
  <si>
    <t>FC WV PR LEM SUNSHINE</t>
  </si>
  <si>
    <t>FC1PR108</t>
  </si>
  <si>
    <t>FC WV PR LEM SLC SUN</t>
  </si>
  <si>
    <t>FC1PR107</t>
  </si>
  <si>
    <t>FC WV PR LEAV DEW</t>
  </si>
  <si>
    <t>FC1PR101</t>
  </si>
  <si>
    <t>FC WV PR FLORAL YLW GRASS</t>
  </si>
  <si>
    <t>FC1PR099</t>
  </si>
  <si>
    <t>FC WV PR FEATHERS STEEL</t>
  </si>
  <si>
    <t>FC1PR098</t>
  </si>
  <si>
    <t>FC WV PR FEATHERS ONYX</t>
  </si>
  <si>
    <t>FC1PR093</t>
  </si>
  <si>
    <t>FC WV PR CORAL MULTI TRIANGLE</t>
  </si>
  <si>
    <t>FC1PR092</t>
  </si>
  <si>
    <t>FC1PR091</t>
  </si>
  <si>
    <t>FC WV PR CORAL MULTI BEADS</t>
  </si>
  <si>
    <t>FC1PR090</t>
  </si>
  <si>
    <t>FC1PR089</t>
  </si>
  <si>
    <t>FC WV PR CORAL GING</t>
  </si>
  <si>
    <t>FC1PR084</t>
  </si>
  <si>
    <t>FC WV PR BIG DOT PROV BLUE</t>
  </si>
  <si>
    <t>Ticking 19</t>
  </si>
  <si>
    <t>TK19004</t>
  </si>
  <si>
    <t>TICKING SOLID</t>
  </si>
  <si>
    <t>TK19003</t>
  </si>
  <si>
    <t>TICKING STRIPE RED</t>
  </si>
  <si>
    <t>TK19002</t>
  </si>
  <si>
    <t>TICKING STRIPE NAVY</t>
  </si>
  <si>
    <t>TK19001</t>
  </si>
  <si>
    <t>TICKING STRIPE-KHAKI</t>
  </si>
  <si>
    <t>Solids 19</t>
  </si>
  <si>
    <t>S110</t>
  </si>
  <si>
    <t>WV SD DEW</t>
  </si>
  <si>
    <t>S109</t>
  </si>
  <si>
    <t>WV SD PROV BLUE</t>
  </si>
  <si>
    <t>S108</t>
  </si>
  <si>
    <t>WV SD GLT WHITE</t>
  </si>
  <si>
    <t>S107</t>
  </si>
  <si>
    <t>WV SD GLT DEW</t>
  </si>
  <si>
    <t>FQ Solids 19</t>
  </si>
  <si>
    <t>PCS1905</t>
  </si>
  <si>
    <t>WV PCQ SD PUMPKIN</t>
  </si>
  <si>
    <t>PCS1904</t>
  </si>
  <si>
    <t>WV PCQ SD PROV BLUE</t>
  </si>
  <si>
    <t>PCS1903</t>
  </si>
  <si>
    <t>WV PCQ SD IRIS</t>
  </si>
  <si>
    <t>PCS1902</t>
  </si>
  <si>
    <t>WV PCQ SD CELERY</t>
  </si>
  <si>
    <t>PCS1901</t>
  </si>
  <si>
    <t>WV PCQ SD APPLE BLSM</t>
  </si>
  <si>
    <t>FQ Prints 19</t>
  </si>
  <si>
    <t>PCP190017</t>
  </si>
  <si>
    <t>WV PCQ TROP SPLF CRL</t>
  </si>
  <si>
    <t>PCP190016</t>
  </si>
  <si>
    <t>WV PCQ SNOWBLL CORAL</t>
  </si>
  <si>
    <t>PCP190015</t>
  </si>
  <si>
    <t>WV PCQ MNBSKT LEMGR</t>
  </si>
  <si>
    <t>PCP190014</t>
  </si>
  <si>
    <t>WV PCQ MNBSKTWV DOVE</t>
  </si>
  <si>
    <t>PCP190013</t>
  </si>
  <si>
    <t>WV PCQ LOOPY WSTERIA</t>
  </si>
  <si>
    <t>PCP190012</t>
  </si>
  <si>
    <t>WV PCQ LOOPY POPPY</t>
  </si>
  <si>
    <t>PCP190011</t>
  </si>
  <si>
    <t>WV PCQ LOOPY ONYX</t>
  </si>
  <si>
    <t>PCP190010</t>
  </si>
  <si>
    <t>WV PCQ LEMSLC SNSHNE</t>
  </si>
  <si>
    <t>PCP190009</t>
  </si>
  <si>
    <t>WV PCQ GRPHC DGS CRL</t>
  </si>
  <si>
    <t>PCP190008</t>
  </si>
  <si>
    <t>WV PCQ FOX IN WOODS</t>
  </si>
  <si>
    <t>PCP190007</t>
  </si>
  <si>
    <t>WV PCQ DABBLES LAPIS</t>
  </si>
  <si>
    <t>PCP190006</t>
  </si>
  <si>
    <t>WV PCQ CONFETTI SKY</t>
  </si>
  <si>
    <t>PCP190005</t>
  </si>
  <si>
    <t>WV PCQ CCTUS RSE PRV</t>
  </si>
  <si>
    <t>PCP190004</t>
  </si>
  <si>
    <t>WV PCQ BURST YELLOW</t>
  </si>
  <si>
    <t>PCP190003</t>
  </si>
  <si>
    <t>WV PCQ BURST PROV BL</t>
  </si>
  <si>
    <t>PCP190002</t>
  </si>
  <si>
    <t>WV PCQ BOW LINE NAVY</t>
  </si>
  <si>
    <t>PCP190001</t>
  </si>
  <si>
    <t>WV PCQ BOW LINE DOVE</t>
  </si>
  <si>
    <t>Fabric Bundle 19</t>
  </si>
  <si>
    <t>PB1908</t>
  </si>
  <si>
    <t>WV BUNDLE WISTERIA</t>
  </si>
  <si>
    <t>PB1907</t>
  </si>
  <si>
    <t>WV BUNDLE CORAL</t>
  </si>
  <si>
    <t>PB1906</t>
  </si>
  <si>
    <t>WV BUNDLE PROV BLUE</t>
  </si>
  <si>
    <t>PB1905</t>
  </si>
  <si>
    <t>WV BUNDLE BATIK</t>
  </si>
  <si>
    <t>PB1904</t>
  </si>
  <si>
    <t>WV BUNDLE GROTTO</t>
  </si>
  <si>
    <t>PB1903</t>
  </si>
  <si>
    <t>WV BUNDLE STEEL</t>
  </si>
  <si>
    <t>PB1902</t>
  </si>
  <si>
    <t>WV BUNDLE ONYX</t>
  </si>
  <si>
    <t>PB1901</t>
  </si>
  <si>
    <t>WV BUNDLE POPPY</t>
  </si>
  <si>
    <t>Monk Cloth 19</t>
  </si>
  <si>
    <t>MC19001</t>
  </si>
  <si>
    <t>MONKS CLOTH NATRL</t>
  </si>
  <si>
    <t>Prints 19</t>
  </si>
  <si>
    <t>G19088</t>
  </si>
  <si>
    <t>WV PR WHIRLWND CORAL</t>
  </si>
  <si>
    <t>G19087</t>
  </si>
  <si>
    <t>WV PR WTRCLR FLR CRL</t>
  </si>
  <si>
    <t>G19086</t>
  </si>
  <si>
    <t>WV PR SNOWBALL CORAL</t>
  </si>
  <si>
    <t>G19085</t>
  </si>
  <si>
    <t>WV PR SM FLR DEW GRY</t>
  </si>
  <si>
    <t>G19084</t>
  </si>
  <si>
    <t>WV PR RANDMSTRIP INK</t>
  </si>
  <si>
    <t>G19083</t>
  </si>
  <si>
    <t>WV PR RANDOM DOT YLW</t>
  </si>
  <si>
    <t>G19082</t>
  </si>
  <si>
    <t>WV PR RANDMDOT CORAL</t>
  </si>
  <si>
    <t>G19081</t>
  </si>
  <si>
    <t>WV PR PLAID WISTERIA</t>
  </si>
  <si>
    <t>G19080</t>
  </si>
  <si>
    <t>WV PR PLAID PROV BL</t>
  </si>
  <si>
    <t>G19079</t>
  </si>
  <si>
    <t>WV PR PLAID GRASS</t>
  </si>
  <si>
    <t>G19078</t>
  </si>
  <si>
    <t>WV PR PLAID DEW GRY</t>
  </si>
  <si>
    <t>G19077</t>
  </si>
  <si>
    <t>WV PR PLAID CORAL</t>
  </si>
  <si>
    <t>G19076</t>
  </si>
  <si>
    <t>WV PR PEBBLES LILAC</t>
  </si>
  <si>
    <t>G19075</t>
  </si>
  <si>
    <t>WV PR PAISLY DEW GRY</t>
  </si>
  <si>
    <t>G19074</t>
  </si>
  <si>
    <t>WV PR ONXY MEGA DOT</t>
  </si>
  <si>
    <t>G19073</t>
  </si>
  <si>
    <t>WV PR ONXY LF FLR</t>
  </si>
  <si>
    <t>G19072</t>
  </si>
  <si>
    <t>WV PR ONXY FEATHER</t>
  </si>
  <si>
    <t>G19071</t>
  </si>
  <si>
    <t>WV PR MLT TRNGLE CRL</t>
  </si>
  <si>
    <t>G19070</t>
  </si>
  <si>
    <t>WV PR MLT SQRS CORAL</t>
  </si>
  <si>
    <t>G19069</t>
  </si>
  <si>
    <t>WV PR MULTIBDS CORAL</t>
  </si>
  <si>
    <t>G19068</t>
  </si>
  <si>
    <t>WV PR MNBSKTWV LEMGR</t>
  </si>
  <si>
    <t>G19067</t>
  </si>
  <si>
    <t>WV PR MNBSKTWV DOVE</t>
  </si>
  <si>
    <t>G19066</t>
  </si>
  <si>
    <t>WV PR MNBSKTWV APLBL</t>
  </si>
  <si>
    <t>G19064</t>
  </si>
  <si>
    <t>WV PR MEGA DOT MGNTA</t>
  </si>
  <si>
    <t>G19063</t>
  </si>
  <si>
    <t>WV PR MEGA DOT INK</t>
  </si>
  <si>
    <t>G19062</t>
  </si>
  <si>
    <t>WV PR MEGA DOT GRASS</t>
  </si>
  <si>
    <t>G19061</t>
  </si>
  <si>
    <t>WV PR LOOPY WISTERIA</t>
  </si>
  <si>
    <t>G19060</t>
  </si>
  <si>
    <t>WV PR LOOPY ONYX</t>
  </si>
  <si>
    <t>G19059</t>
  </si>
  <si>
    <t>WV PR LOOPY GROTTO</t>
  </si>
  <si>
    <t>G19058</t>
  </si>
  <si>
    <t>WV PR LOOPY CORAL</t>
  </si>
  <si>
    <t>G19057</t>
  </si>
  <si>
    <t>WV PR LEM SUNSHINE</t>
  </si>
  <si>
    <t>G19056</t>
  </si>
  <si>
    <t>WV PR LEM SLICE SUN</t>
  </si>
  <si>
    <t>G19055</t>
  </si>
  <si>
    <t>WV PR LEAF DEW</t>
  </si>
  <si>
    <t>G19054</t>
  </si>
  <si>
    <t>WV PR HYDRAN PROV BL</t>
  </si>
  <si>
    <t>G19053</t>
  </si>
  <si>
    <t>WV PR HYDRAN DEW</t>
  </si>
  <si>
    <t>G19052</t>
  </si>
  <si>
    <t>WV PR GRY WHT FLRL</t>
  </si>
  <si>
    <t>G19051</t>
  </si>
  <si>
    <t>WV PR FLRL YLW GRASS</t>
  </si>
  <si>
    <t>G19050</t>
  </si>
  <si>
    <t>WV PR FLORL WISTERIA</t>
  </si>
  <si>
    <t>G19049</t>
  </si>
  <si>
    <t>WV PR FLORAL LILAC</t>
  </si>
  <si>
    <t>G19048</t>
  </si>
  <si>
    <t>WV PR FEATHER STEEL</t>
  </si>
  <si>
    <t>G19047</t>
  </si>
  <si>
    <t>WV PR DABBLES LAPIS</t>
  </si>
  <si>
    <t>G19046</t>
  </si>
  <si>
    <t>WV PR DABBLES CORAL</t>
  </si>
  <si>
    <t>G19045</t>
  </si>
  <si>
    <t>WV PR CRYNSTRP CORAL</t>
  </si>
  <si>
    <t>G19044</t>
  </si>
  <si>
    <t>WV PR CONFETTI PINK</t>
  </si>
  <si>
    <t>G19043</t>
  </si>
  <si>
    <t>WV PR BURST YELLOW</t>
  </si>
  <si>
    <t>G19042</t>
  </si>
  <si>
    <t>WV PR BURST WISTERIA</t>
  </si>
  <si>
    <t>G19041</t>
  </si>
  <si>
    <t>WV PR BURST RED</t>
  </si>
  <si>
    <t>G19040</t>
  </si>
  <si>
    <t>WV PR BURST PROV BL</t>
  </si>
  <si>
    <t>G19039</t>
  </si>
  <si>
    <t>WV PR BURST CORAL</t>
  </si>
  <si>
    <t>G19038</t>
  </si>
  <si>
    <t>WV PR BIGDOT PROV BL</t>
  </si>
  <si>
    <t>G19037</t>
  </si>
  <si>
    <t>WV PR BIG DOT CORAL</t>
  </si>
  <si>
    <t>G19036</t>
  </si>
  <si>
    <t>WV PR BIG BIRD MULTI</t>
  </si>
  <si>
    <t>G19035</t>
  </si>
  <si>
    <t>WV PR BIAS PLAID ONX</t>
  </si>
  <si>
    <t>G19034</t>
  </si>
  <si>
    <t>WV PR ABST FRUIT CRL</t>
  </si>
  <si>
    <t>G19032</t>
  </si>
  <si>
    <t>RANDOM STRIPE LILAC</t>
  </si>
  <si>
    <t>G19031</t>
  </si>
  <si>
    <t>FAR NEAR DOTS LILAC</t>
  </si>
  <si>
    <t>2 yards cut solid 19</t>
  </si>
  <si>
    <t>FC2SD020</t>
  </si>
  <si>
    <t>FC WV SD AQUA 2YD</t>
  </si>
  <si>
    <t>FC2SD018</t>
  </si>
  <si>
    <t>FC WV SD SUNSHNE 2YD</t>
  </si>
  <si>
    <t>FC2SD017</t>
  </si>
  <si>
    <t>FC WV SD KELLY 2YD</t>
  </si>
  <si>
    <t>FC2SD015</t>
  </si>
  <si>
    <t>FC WV SD PROV BL 2YD</t>
  </si>
  <si>
    <t>FC2SD011</t>
  </si>
  <si>
    <t>FC WV SD CRNTION 2YD</t>
  </si>
  <si>
    <t>FC2SD010</t>
  </si>
  <si>
    <t>FC WV SD MAGENTA 2YD</t>
  </si>
  <si>
    <t>FC WV DK LOTUS MD NT</t>
  </si>
  <si>
    <t>1 yard cut prints 19</t>
  </si>
  <si>
    <t>FC1PR193</t>
  </si>
  <si>
    <t>FC WV TSSD HYDRG PRL</t>
  </si>
  <si>
    <t>FC1PR192</t>
  </si>
  <si>
    <t>FC WV SNOWBLL PRVNCE</t>
  </si>
  <si>
    <t>FC1PR191</t>
  </si>
  <si>
    <t>FC WV SNOWBALL CORAL</t>
  </si>
  <si>
    <t>FC1PR190</t>
  </si>
  <si>
    <t>FC WV PLYFL GRDN CRL</t>
  </si>
  <si>
    <t>FC1PR189</t>
  </si>
  <si>
    <t>FC WV PEBBLES LILAC</t>
  </si>
  <si>
    <t>FC1PR188</t>
  </si>
  <si>
    <t>FC WV PTD WLDFLRS SP</t>
  </si>
  <si>
    <t>FC1PR187</t>
  </si>
  <si>
    <t>FC1PR186</t>
  </si>
  <si>
    <t>FC WV MNBSKTWV DOVE</t>
  </si>
  <si>
    <t>FC1PR185</t>
  </si>
  <si>
    <t>FC1PR184</t>
  </si>
  <si>
    <t>FC WV LOOPY WISTERIA</t>
  </si>
  <si>
    <t>FC1PR183</t>
  </si>
  <si>
    <t>FC WV LOOPY ONYX</t>
  </si>
  <si>
    <t>FC1PR182</t>
  </si>
  <si>
    <t>FC1PR181</t>
  </si>
  <si>
    <t>FC WV LOOPY GROTTO</t>
  </si>
  <si>
    <t>FC1PR180</t>
  </si>
  <si>
    <t>FC WV JST TRNGLS WIS</t>
  </si>
  <si>
    <t>FC1PR179</t>
  </si>
  <si>
    <t>FC WV DABBLES LAPIS</t>
  </si>
  <si>
    <t>FC1PR178</t>
  </si>
  <si>
    <t>FC WV DABBLES CORAL</t>
  </si>
  <si>
    <t>FC1PR177</t>
  </si>
  <si>
    <t>FC WV CRAYON STRIPE</t>
  </si>
  <si>
    <t>FC1PR176</t>
  </si>
  <si>
    <t>FC WV CNFTTI PROVNCE</t>
  </si>
  <si>
    <t>FC1PR175</t>
  </si>
  <si>
    <t>FC1PR174</t>
  </si>
  <si>
    <t>FC WV BURST YELLOW</t>
  </si>
  <si>
    <t>FC1PR173</t>
  </si>
  <si>
    <t>FC WV BIG BIRD MULTI</t>
  </si>
  <si>
    <t>FC1PR172</t>
  </si>
  <si>
    <t>FC WV BIAS PLAID ONX</t>
  </si>
  <si>
    <t>1.5 yard cut fleece 19</t>
  </si>
  <si>
    <t>FC1HFLC12</t>
  </si>
  <si>
    <t>FC FLC SHRPA WHT BLK</t>
  </si>
  <si>
    <t>54duck19</t>
  </si>
  <si>
    <t>C54D0415</t>
  </si>
  <si>
    <t>WV DK 54 WHRPOOL SPA</t>
  </si>
  <si>
    <t>C54D0414</t>
  </si>
  <si>
    <t>WV DK 54 WHIRPL NEUT</t>
  </si>
  <si>
    <t>C54D0413</t>
  </si>
  <si>
    <t>WV DK 54 WHRPL INDGO</t>
  </si>
  <si>
    <t>C54D0412</t>
  </si>
  <si>
    <t>WV DK 54 TEATIME SPA</t>
  </si>
  <si>
    <t>C54D0411</t>
  </si>
  <si>
    <t>WV DK 54 TEATIME RED</t>
  </si>
  <si>
    <t>C54D0410</t>
  </si>
  <si>
    <t>WV DK 54 TEATIME GRY</t>
  </si>
  <si>
    <t>C54D0409</t>
  </si>
  <si>
    <t>WV DK 54 TEATIME BLK</t>
  </si>
  <si>
    <t>C54D0408</t>
  </si>
  <si>
    <t>WV DK 54 GRP PSY SPA</t>
  </si>
  <si>
    <t>C54D0406</t>
  </si>
  <si>
    <t>WV DK 54 FERN INDIGO</t>
  </si>
  <si>
    <t>C54D0404</t>
  </si>
  <si>
    <t>WV DK 54 FTSYISL RTT</t>
  </si>
  <si>
    <t xml:space="preserve"> </t>
  </si>
  <si>
    <t>Bolted Deleted</t>
  </si>
  <si>
    <t>S66</t>
  </si>
  <si>
    <t>S13X658119</t>
  </si>
  <si>
    <t>CLASSIC BLUES SM FLR</t>
  </si>
  <si>
    <t>S13X659150</t>
  </si>
  <si>
    <t>PAISLEY PROV BLUE</t>
  </si>
  <si>
    <t>S13X626147</t>
  </si>
  <si>
    <t>SM FLR BTFLY GREY</t>
  </si>
  <si>
    <t>S13A136111</t>
  </si>
  <si>
    <t>ZIGZAG MULTI</t>
  </si>
  <si>
    <t>S13A136120</t>
  </si>
  <si>
    <t>MARJORIE ZIGZAG</t>
  </si>
  <si>
    <t>S13T914141</t>
  </si>
  <si>
    <t>NEUTRAL  LG FLR GRAY</t>
  </si>
  <si>
    <t>S13X622142</t>
  </si>
  <si>
    <t>MARJORIE FLRL LIGHT</t>
  </si>
  <si>
    <t>S13X706142</t>
  </si>
  <si>
    <t>NEUTRAL FLOWER TAN</t>
  </si>
  <si>
    <t>S1382530111</t>
  </si>
  <si>
    <t>MANCHESTR TERRACE S</t>
  </si>
  <si>
    <t>S1382520111</t>
  </si>
  <si>
    <t>MANCHESTR TERRACE L</t>
  </si>
  <si>
    <t>S1382550111</t>
  </si>
  <si>
    <t>S137973 0190</t>
  </si>
  <si>
    <t>DECOR NOIR LARGE ROS</t>
  </si>
  <si>
    <t>S137974 0190</t>
  </si>
  <si>
    <t>DECOR NOIR ROSE</t>
  </si>
  <si>
    <t>S137976 0190</t>
  </si>
  <si>
    <t>DECOR NOIR PAISLEY</t>
  </si>
  <si>
    <t>S13X505 0112</t>
  </si>
  <si>
    <t>JET JACOBEAN BLK PAI</t>
  </si>
  <si>
    <t>S137979 0190</t>
  </si>
  <si>
    <t>DECOR NOIR BLK</t>
  </si>
  <si>
    <t>S13A980-0150</t>
  </si>
  <si>
    <t>FOLKLORIC MN DT TEAL</t>
  </si>
  <si>
    <t>S13X363 0112</t>
  </si>
  <si>
    <t>JET JACOBEAN BLK FLR</t>
  </si>
  <si>
    <t>S13Y491-0110</t>
  </si>
  <si>
    <t>FOLKORIC LG FLOWER</t>
  </si>
  <si>
    <t>GG160132</t>
  </si>
  <si>
    <t>S13Y492-0110</t>
  </si>
  <si>
    <t>LAURENS FLR JACOB BL</t>
  </si>
  <si>
    <t>GG160133</t>
  </si>
  <si>
    <t>SPYX6590150</t>
  </si>
  <si>
    <t>FC PR PAISLEY PROV</t>
  </si>
  <si>
    <t>SPYX6580119</t>
  </si>
  <si>
    <t>FC PR SM FLORAL PR</t>
  </si>
  <si>
    <t>W85440119</t>
  </si>
  <si>
    <t>FLNL PLD BLKWCH</t>
  </si>
  <si>
    <t>W85450143</t>
  </si>
  <si>
    <t>FLNL PLD CRM BL CHE</t>
  </si>
  <si>
    <t>W85470144</t>
  </si>
  <si>
    <t>FLNL PLD RED GRAY</t>
  </si>
  <si>
    <t>W85480145</t>
  </si>
  <si>
    <t>FLNL PLD LG RED GRAY</t>
  </si>
  <si>
    <t>W85520111</t>
  </si>
  <si>
    <t>FLNL PLD RED BL</t>
  </si>
  <si>
    <t>W85550123</t>
  </si>
  <si>
    <t>FLNL PLD RED GRY HE</t>
  </si>
  <si>
    <t>S13X444144</t>
  </si>
  <si>
    <t>TARNISH TEX DK GRAY</t>
  </si>
  <si>
    <t>S13X444145</t>
  </si>
  <si>
    <t>TARNISH TEX LT GREY</t>
  </si>
  <si>
    <t>S13X444161</t>
  </si>
  <si>
    <t>TARNISH TEXTURE TAN</t>
  </si>
  <si>
    <t>S13Y201-0140</t>
  </si>
  <si>
    <t>PINWHEEL MEDALLION</t>
  </si>
  <si>
    <t>S13Y438-0146</t>
  </si>
  <si>
    <t>LAURENS FLR GRLACE</t>
  </si>
  <si>
    <t>S13A980-0132</t>
  </si>
  <si>
    <t>FOLKLORIC MN DT MUST</t>
  </si>
  <si>
    <t>S13A981-0150</t>
  </si>
  <si>
    <t>FOLKORIC SM FLOWER</t>
  </si>
  <si>
    <t>S13Y180 0159</t>
  </si>
  <si>
    <t>JET JACOBEAN RED</t>
  </si>
  <si>
    <t>74513890117</t>
  </si>
  <si>
    <t>74513893538</t>
  </si>
  <si>
    <t>74513891578</t>
  </si>
  <si>
    <t>74513892586</t>
  </si>
  <si>
    <t>74513892587</t>
  </si>
  <si>
    <t>74513893537</t>
  </si>
  <si>
    <t>Order#</t>
  </si>
  <si>
    <t>FC245DK20007</t>
  </si>
  <si>
    <t>FC WV 45 MAIZE</t>
  </si>
  <si>
    <t>FC245DK20094</t>
  </si>
  <si>
    <t>WV FC 45 WID STR BLK</t>
  </si>
  <si>
    <t>FC245DK20089</t>
  </si>
  <si>
    <t>WV FC 45 TEATIME</t>
  </si>
  <si>
    <t>FC245DK20057</t>
  </si>
  <si>
    <t>WV FC 45 DK YY OP GY</t>
  </si>
  <si>
    <t>FC245DK20048</t>
  </si>
  <si>
    <t>WV FC 45 DK BR JCB B</t>
  </si>
  <si>
    <t>FC245DK20093</t>
  </si>
  <si>
    <t>WV FC 45 WID STP GRY</t>
  </si>
  <si>
    <t>Batik 2020</t>
  </si>
  <si>
    <t>BK2001</t>
  </si>
  <si>
    <t>BATIK 15</t>
  </si>
  <si>
    <t>BK2002</t>
  </si>
  <si>
    <t>BATIK 33</t>
  </si>
  <si>
    <t>BK2003</t>
  </si>
  <si>
    <t>BATIK 34</t>
  </si>
  <si>
    <t>BK2004</t>
  </si>
  <si>
    <t>BATIK 35</t>
  </si>
  <si>
    <t>BK2005</t>
  </si>
  <si>
    <t>BATIK 8</t>
  </si>
  <si>
    <t>BK2006</t>
  </si>
  <si>
    <t>BATIK 9</t>
  </si>
  <si>
    <t>1 yard cut prints 20</t>
  </si>
  <si>
    <t>SPYAX444144</t>
  </si>
  <si>
    <t>FC TRNSHD TX DK GRY</t>
  </si>
  <si>
    <t>SPYAX444145</t>
  </si>
  <si>
    <t>FC TRNSHD TX LT GREY</t>
  </si>
  <si>
    <t>SPYAX444161</t>
  </si>
  <si>
    <t>FC TRNSHD TX TAN</t>
  </si>
  <si>
    <t>FC1PR194</t>
  </si>
  <si>
    <t>FC WV PR BTK AQ 1YD</t>
  </si>
  <si>
    <t>FC1PR195</t>
  </si>
  <si>
    <t>FC WV PR BXIN AQ 1YD</t>
  </si>
  <si>
    <t>FC1PR196</t>
  </si>
  <si>
    <t>FC WV PR BXN PRO 1YD</t>
  </si>
  <si>
    <t>FC1PR198</t>
  </si>
  <si>
    <t>FC WV PR DCS PRO 1YD</t>
  </si>
  <si>
    <t>FC1PR197</t>
  </si>
  <si>
    <t>FC WV PR DCSL NT 1YD</t>
  </si>
  <si>
    <t>FC1PR199</t>
  </si>
  <si>
    <t>FC WV PR DLE LPS 1YD</t>
  </si>
  <si>
    <t>FC1PR200</t>
  </si>
  <si>
    <t>FC WV PR FLFM CT 1YD</t>
  </si>
  <si>
    <t>FC1PR201</t>
  </si>
  <si>
    <t>FC WV PR FLFM PY 1YD</t>
  </si>
  <si>
    <t>FC1PR202</t>
  </si>
  <si>
    <t>FC WV PR FMFD AQ 1YD</t>
  </si>
  <si>
    <t>FC1PR203</t>
  </si>
  <si>
    <t>FC WV PR FMFS CT 1YD</t>
  </si>
  <si>
    <t>FC1PR204</t>
  </si>
  <si>
    <t>FC WV PR FMFS PY 1YD</t>
  </si>
  <si>
    <t>FC1PR205</t>
  </si>
  <si>
    <t>FC WV PR FMFS SL 1YD</t>
  </si>
  <si>
    <t>FC1PR208</t>
  </si>
  <si>
    <t>FC WV PR HRGB IN 1YD</t>
  </si>
  <si>
    <t>FC1PR209</t>
  </si>
  <si>
    <t>FC WV PR HRGB WT 1YD</t>
  </si>
  <si>
    <t>FC1PR210</t>
  </si>
  <si>
    <t>FC WV PR HY SR 1YD</t>
  </si>
  <si>
    <t>FC1PR207</t>
  </si>
  <si>
    <t>FC WV PR HYB WTM 1YD</t>
  </si>
  <si>
    <t>FC1PR206</t>
  </si>
  <si>
    <t>FC WV PR HYS BKM 1YD</t>
  </si>
  <si>
    <t>FC1PR211</t>
  </si>
  <si>
    <t>FC WV PR LENS PE 1YD</t>
  </si>
  <si>
    <t>FC1PR213</t>
  </si>
  <si>
    <t>FC WV PR M SL GO 1YD</t>
  </si>
  <si>
    <t>FC1PR214</t>
  </si>
  <si>
    <t>FC WV PR MISL SR 1YD</t>
  </si>
  <si>
    <t>FC1PR212</t>
  </si>
  <si>
    <t>FC WV PR MISL WA 1YD</t>
  </si>
  <si>
    <t>FC1PR215</t>
  </si>
  <si>
    <t>FC WV PR MITE BR 1YD</t>
  </si>
  <si>
    <t>FC1PR216</t>
  </si>
  <si>
    <t>FC WV PR MITE RP 1YD</t>
  </si>
  <si>
    <t>FC1PR217</t>
  </si>
  <si>
    <t>FC WV PR OCLS MI 1YD</t>
  </si>
  <si>
    <t>FC1PR218</t>
  </si>
  <si>
    <t>FC WV PR OCLS NL 1YD</t>
  </si>
  <si>
    <t>FC1PR222</t>
  </si>
  <si>
    <t>FC WV PR PAS WTM 1YD</t>
  </si>
  <si>
    <t>FC1PR220</t>
  </si>
  <si>
    <t>FC WV PR PCPV IN 1YD</t>
  </si>
  <si>
    <t>FC1PR221</t>
  </si>
  <si>
    <t>FC WV PR PCPV SR 1YD</t>
  </si>
  <si>
    <t>FC1PR219</t>
  </si>
  <si>
    <t>FC WV PR PS MI 1YD</t>
  </si>
  <si>
    <t>FC1PR225</t>
  </si>
  <si>
    <t>FC WV PR SPTS PR 1YD</t>
  </si>
  <si>
    <t>FC1PR224</t>
  </si>
  <si>
    <t>FC WV PR SS CRAL 1YD</t>
  </si>
  <si>
    <t>FC1PR223</t>
  </si>
  <si>
    <t>FC WV PR SSFG M 1YD</t>
  </si>
  <si>
    <t>Homespun 20</t>
  </si>
  <si>
    <t>HS2001</t>
  </si>
  <si>
    <t>HS 1/8IN GREEN</t>
  </si>
  <si>
    <t>HS2002</t>
  </si>
  <si>
    <t>HS 1/8IN MULTI</t>
  </si>
  <si>
    <t>HS2003</t>
  </si>
  <si>
    <t>HS 1IN GREEN</t>
  </si>
  <si>
    <t>HS2004</t>
  </si>
  <si>
    <t>HS 1IN RED</t>
  </si>
  <si>
    <t>HS2005</t>
  </si>
  <si>
    <t>HS CHAMBRAY GREY</t>
  </si>
  <si>
    <t>HS2006</t>
  </si>
  <si>
    <t>HS PLAID BLUE</t>
  </si>
  <si>
    <t>HS2007</t>
  </si>
  <si>
    <t>HS PLAID GREY WHT</t>
  </si>
  <si>
    <t>HS2008</t>
  </si>
  <si>
    <t>HS PLAID MULTI</t>
  </si>
  <si>
    <t>HS2009</t>
  </si>
  <si>
    <t>HS QUILT GREY</t>
  </si>
  <si>
    <t>HS2010</t>
  </si>
  <si>
    <t>HS STAR RED</t>
  </si>
  <si>
    <t>Mainstays Print 20</t>
  </si>
  <si>
    <t>MSPR2012</t>
  </si>
  <si>
    <t>MS AQUA BURST</t>
  </si>
  <si>
    <t>MSPR2011</t>
  </si>
  <si>
    <t>MS BLACK BUF PLAID</t>
  </si>
  <si>
    <t>MSPR2010</t>
  </si>
  <si>
    <t>MS BLACK BURST</t>
  </si>
  <si>
    <t>MSPR2009</t>
  </si>
  <si>
    <t>MS BLACK ORG DOT</t>
  </si>
  <si>
    <t>MSPR2008</t>
  </si>
  <si>
    <t>MS BLUE BURST</t>
  </si>
  <si>
    <t>Mainstays 1ydcut print 20</t>
  </si>
  <si>
    <t>MS1YPR2001</t>
  </si>
  <si>
    <t>MS FC AQUA DOT 1YD</t>
  </si>
  <si>
    <t>MS1YPR2002</t>
  </si>
  <si>
    <t>MS FC AQUA MXFLR 1YD</t>
  </si>
  <si>
    <t>MS1YPR2003</t>
  </si>
  <si>
    <t>MS FC B/W FLORAL 1YD</t>
  </si>
  <si>
    <t>MS1YPR2004</t>
  </si>
  <si>
    <t>MS FC BLK STRIPE 1YD</t>
  </si>
  <si>
    <t>MS1YPR2005</t>
  </si>
  <si>
    <t>MS FC BLK TRNGLE 1YD</t>
  </si>
  <si>
    <t>MS1YPR2006</t>
  </si>
  <si>
    <t>MS FC BLU RD FLR 1YD</t>
  </si>
  <si>
    <t>MS1YPR2007</t>
  </si>
  <si>
    <t>MS FC BLUE DOT 1YD</t>
  </si>
  <si>
    <t>MS1YPR2008</t>
  </si>
  <si>
    <t>MS FC BLUE SCLP 1YD</t>
  </si>
  <si>
    <t>MS1YPR2009</t>
  </si>
  <si>
    <t>MS FC BLUE STARS 1YD</t>
  </si>
  <si>
    <t>MS1YPR2010</t>
  </si>
  <si>
    <t>MS FC BLUE STRP 1YD</t>
  </si>
  <si>
    <t>MS1YPR2011</t>
  </si>
  <si>
    <t>MS FC FLWR STRP 1YD</t>
  </si>
  <si>
    <t>MS1YPR2012</t>
  </si>
  <si>
    <t>MS FC GREEN VINE 1YD</t>
  </si>
  <si>
    <t>MS1YPR2013</t>
  </si>
  <si>
    <t>MS FC GREY DEER 1YD</t>
  </si>
  <si>
    <t>Mainstays 1ydcut solid 20</t>
  </si>
  <si>
    <t>MS1YSD2009</t>
  </si>
  <si>
    <t>MS FC GREY SOLID 1YD</t>
  </si>
  <si>
    <t>MS1YPR2015</t>
  </si>
  <si>
    <t>MS FC GREY STRP 1YD</t>
  </si>
  <si>
    <t>MS1YPR2016</t>
  </si>
  <si>
    <t>MS FC MLT AQ STP 1YD</t>
  </si>
  <si>
    <t>MS1YPR2017</t>
  </si>
  <si>
    <t>MS FC MLT BK FLR 1YD</t>
  </si>
  <si>
    <t>MS1YPR2018</t>
  </si>
  <si>
    <t>MS FC MLT CATCUS 1YD</t>
  </si>
  <si>
    <t>MS1YPR2019</t>
  </si>
  <si>
    <t>MS FC MLT GY FLR 1YD</t>
  </si>
  <si>
    <t>MS1YPR2020</t>
  </si>
  <si>
    <t>MS FC MLT PK STP 1YD</t>
  </si>
  <si>
    <t>MS1YPR2021</t>
  </si>
  <si>
    <t>MS FC MULTI BIRD 1YD</t>
  </si>
  <si>
    <t>MS1YPR2022</t>
  </si>
  <si>
    <t>MS FC MULTI STRP 1YD</t>
  </si>
  <si>
    <t>MS1YPR2023</t>
  </si>
  <si>
    <t>MS FC PINK DOT 1YD</t>
  </si>
  <si>
    <t>MS1YPR2024</t>
  </si>
  <si>
    <t>MS FC PINK MXFLR 1YD</t>
  </si>
  <si>
    <t>MS1YPR2025</t>
  </si>
  <si>
    <t>MS FC PINK VINE 1YD</t>
  </si>
  <si>
    <t>MS1YPR2026</t>
  </si>
  <si>
    <t>MS FC R/B BUFPLD 1YD</t>
  </si>
  <si>
    <t>MS1YPR2027</t>
  </si>
  <si>
    <t>MS FC R/W/B PLD 1 YD</t>
  </si>
  <si>
    <t>MS1YPR2028</t>
  </si>
  <si>
    <t>MS FC RED DAISY 1YD</t>
  </si>
  <si>
    <t>MS1YPR2029</t>
  </si>
  <si>
    <t>MS FC RED VINE 1YD</t>
  </si>
  <si>
    <t>MS1YPR2030</t>
  </si>
  <si>
    <t>MS FC ROOST ECRU 1YD</t>
  </si>
  <si>
    <t>MS1YSD2001</t>
  </si>
  <si>
    <t>MS FC SD AQUA 1YD</t>
  </si>
  <si>
    <t>MS1YSD2002</t>
  </si>
  <si>
    <t>MS FC SD BLACK 1YD</t>
  </si>
  <si>
    <t>Mainstays 2ydcut solid 20</t>
  </si>
  <si>
    <t>MS2YSD2001</t>
  </si>
  <si>
    <t>MS FC SD BLACK 2YD</t>
  </si>
  <si>
    <t>MS1YSD2003</t>
  </si>
  <si>
    <t>MS FC SD LT BLUE 1YD</t>
  </si>
  <si>
    <t>MS1YSD2004</t>
  </si>
  <si>
    <t>MS FC SD LT PINK 1YD</t>
  </si>
  <si>
    <t>MS1YSD2005</t>
  </si>
  <si>
    <t>MS FC SD RED 1YD</t>
  </si>
  <si>
    <t>MS2YSD2002</t>
  </si>
  <si>
    <t>MS FC SD RED 2YD</t>
  </si>
  <si>
    <t>MS1YSD2006</t>
  </si>
  <si>
    <t>MS FC SD WHITE 1YD</t>
  </si>
  <si>
    <t>MS2YSD2003</t>
  </si>
  <si>
    <t>MS FC SD WHITE 2YD</t>
  </si>
  <si>
    <t>MS1YSD2007</t>
  </si>
  <si>
    <t>MS FC SD YELLOW 1YD</t>
  </si>
  <si>
    <t>MS1YSD2008</t>
  </si>
  <si>
    <t>MS FC SDECRU 1YD</t>
  </si>
  <si>
    <t>MS1YPR2031</t>
  </si>
  <si>
    <t>MS FC YELLOW DOT 1YD</t>
  </si>
  <si>
    <t>MSPR2007</t>
  </si>
  <si>
    <t>MS GREY BUF PLAID</t>
  </si>
  <si>
    <t>MSPR2006</t>
  </si>
  <si>
    <t>MS GREY BURST</t>
  </si>
  <si>
    <t>MSPR2005</t>
  </si>
  <si>
    <t>MS GREY ORG DOT</t>
  </si>
  <si>
    <t>MSPR2004</t>
  </si>
  <si>
    <t>MS PINK BURST</t>
  </si>
  <si>
    <t>MSPR2003</t>
  </si>
  <si>
    <t>MS RED BUFFALO PLAID</t>
  </si>
  <si>
    <t>MSPR2002</t>
  </si>
  <si>
    <t>MS RED BURST</t>
  </si>
  <si>
    <t>MSPR2001</t>
  </si>
  <si>
    <t>MS RED ORG DOT</t>
  </si>
  <si>
    <t>Mainstays Solid 20</t>
  </si>
  <si>
    <t>MSSD2002</t>
  </si>
  <si>
    <t>MS SD AQUA</t>
  </si>
  <si>
    <t>MSSD2003</t>
  </si>
  <si>
    <t>MS SD BLACK</t>
  </si>
  <si>
    <t>MSSD2004</t>
  </si>
  <si>
    <t>MS SD BLUE</t>
  </si>
  <si>
    <t>MSSD2005</t>
  </si>
  <si>
    <t>MS SD ECRU</t>
  </si>
  <si>
    <t>MSSD2006</t>
  </si>
  <si>
    <t>MS SD GREEN</t>
  </si>
  <si>
    <t>MSSD2001</t>
  </si>
  <si>
    <t>MS SD GREY</t>
  </si>
  <si>
    <t>MSSD2007</t>
  </si>
  <si>
    <t>MS SD HOT PINK</t>
  </si>
  <si>
    <t>MSSD2008</t>
  </si>
  <si>
    <t>MS SD LIGHT BLUE</t>
  </si>
  <si>
    <t>MSSD2009</t>
  </si>
  <si>
    <t>MS SD LIGHT PINK</t>
  </si>
  <si>
    <t>MSSD2010</t>
  </si>
  <si>
    <t>MS SD MED PINK</t>
  </si>
  <si>
    <t>MSSD2011</t>
  </si>
  <si>
    <t>MS SD RED</t>
  </si>
  <si>
    <t>MSSD2012</t>
  </si>
  <si>
    <t>MS SD WHITE</t>
  </si>
  <si>
    <t>MSSD2013</t>
  </si>
  <si>
    <t>MS SD YELLOW</t>
  </si>
  <si>
    <t>Prints 20</t>
  </si>
  <si>
    <t>G20001</t>
  </si>
  <si>
    <t>WV PR BATIK AQUA</t>
  </si>
  <si>
    <t>G20002</t>
  </si>
  <si>
    <t>WV PR BATIK MAGENTA</t>
  </si>
  <si>
    <t>G20004</t>
  </si>
  <si>
    <t>WV PR BATIK WISTERIA</t>
  </si>
  <si>
    <t>G20005</t>
  </si>
  <si>
    <t>WV PR BATIK YELLOW</t>
  </si>
  <si>
    <t>G20006</t>
  </si>
  <si>
    <t>WV PR BOXED IN AQUA</t>
  </si>
  <si>
    <t>G20007</t>
  </si>
  <si>
    <t>WV PR BOXED IN PRVNC</t>
  </si>
  <si>
    <t>G20003</t>
  </si>
  <si>
    <t>WV PR BTK PROV BLUE</t>
  </si>
  <si>
    <t>G20008</t>
  </si>
  <si>
    <t>WV PR BURST GROTTO</t>
  </si>
  <si>
    <t>G20009</t>
  </si>
  <si>
    <t>WV PR BURST STEEL</t>
  </si>
  <si>
    <t>G20012</t>
  </si>
  <si>
    <t>WV PR DNC SCRL PRVN</t>
  </si>
  <si>
    <t>G20010</t>
  </si>
  <si>
    <t>WV PR DNCN SCRL DNM</t>
  </si>
  <si>
    <t>G20011</t>
  </si>
  <si>
    <t>WV PR DNN SCRL NTRL</t>
  </si>
  <si>
    <t>G20013</t>
  </si>
  <si>
    <t>WV PR DOODLE LAPIS</t>
  </si>
  <si>
    <t>G20016</t>
  </si>
  <si>
    <t>WV PR FARM FLDS AQUA</t>
  </si>
  <si>
    <t>G20017</t>
  </si>
  <si>
    <t>WV PR FARM FLDS CBLT</t>
  </si>
  <si>
    <t>G20018</t>
  </si>
  <si>
    <t>WV PR FARM FLDS PPPY</t>
  </si>
  <si>
    <t>G20019</t>
  </si>
  <si>
    <t>WV PR FARM FLDS SLVR</t>
  </si>
  <si>
    <t>G20014</t>
  </si>
  <si>
    <t>WV PR FML FRM CBALT</t>
  </si>
  <si>
    <t>G20015</t>
  </si>
  <si>
    <t>WV PR FML FRM POPPY</t>
  </si>
  <si>
    <t>G20022</t>
  </si>
  <si>
    <t>WV PR HEEHAW COBALT</t>
  </si>
  <si>
    <t>G20020</t>
  </si>
  <si>
    <t>WV PR HPY BRD BK MLT</t>
  </si>
  <si>
    <t>G20021</t>
  </si>
  <si>
    <t>WV PR HPY BS WHT MLT</t>
  </si>
  <si>
    <t>G20023</t>
  </si>
  <si>
    <t>WV PR HRRNGBNE INK</t>
  </si>
  <si>
    <t>G20024</t>
  </si>
  <si>
    <t>WV PR HRRNGBNE WSTRA</t>
  </si>
  <si>
    <t>G20025</t>
  </si>
  <si>
    <t>WV PR HWDY SLVER</t>
  </si>
  <si>
    <t>G20026</t>
  </si>
  <si>
    <t>WV PR LVE NTS PURPLE</t>
  </si>
  <si>
    <t>G20031</t>
  </si>
  <si>
    <t>WV PR MINI SCRLL SUN</t>
  </si>
  <si>
    <t>G20032</t>
  </si>
  <si>
    <t>WV PR MLT TILE BTTR</t>
  </si>
  <si>
    <t>G20033</t>
  </si>
  <si>
    <t>WV PR MLTI TILE RASP</t>
  </si>
  <si>
    <t>G20028</t>
  </si>
  <si>
    <t>WV PR MN SCRLL GRTT</t>
  </si>
  <si>
    <t>G20027</t>
  </si>
  <si>
    <t>WV PR MN SCRLL PRVN</t>
  </si>
  <si>
    <t>G20030</t>
  </si>
  <si>
    <t>WV PR MN SCRLL SLVR</t>
  </si>
  <si>
    <t>G20029</t>
  </si>
  <si>
    <t>WV PR MN SCRLL WSTR</t>
  </si>
  <si>
    <t>G20034</t>
  </si>
  <si>
    <t>WV PR MULTBDS ONYX</t>
  </si>
  <si>
    <t>G20035</t>
  </si>
  <si>
    <t>WV PR ORGNC LVES MLT</t>
  </si>
  <si>
    <t>G20036</t>
  </si>
  <si>
    <t>WV PR ORGNC LVES NT</t>
  </si>
  <si>
    <t>G20037</t>
  </si>
  <si>
    <t>WV PR PATCHES MULTI</t>
  </si>
  <si>
    <t>G20038</t>
  </si>
  <si>
    <t>WV PR PIC PD RV AQUA</t>
  </si>
  <si>
    <t>G20039</t>
  </si>
  <si>
    <t>WV PR PICN PD RV INK</t>
  </si>
  <si>
    <t>G20040</t>
  </si>
  <si>
    <t>WV PR PICN PD RV SLR</t>
  </si>
  <si>
    <t>G20041</t>
  </si>
  <si>
    <t>WV PR PNT HSS WT MLT</t>
  </si>
  <si>
    <t>G20042</t>
  </si>
  <si>
    <t>WV PR RANDM TRNGL NY</t>
  </si>
  <si>
    <t>G20043</t>
  </si>
  <si>
    <t>WV PR RNDM TRNGL STL</t>
  </si>
  <si>
    <t>G20044</t>
  </si>
  <si>
    <t>WV PR SEGLLS FNG MLT</t>
  </si>
  <si>
    <t>G20046</t>
  </si>
  <si>
    <t>WV PR SPOTS PRVENCE</t>
  </si>
  <si>
    <t>G20045</t>
  </si>
  <si>
    <t>WV PR SPTS CRAL</t>
  </si>
  <si>
    <t>HTS1Y2001</t>
  </si>
  <si>
    <t>FC HTS CRFTWORK MLTI</t>
  </si>
  <si>
    <t>54duck 20</t>
  </si>
  <si>
    <t>CD542001</t>
  </si>
  <si>
    <t>WV 54 SLD PORCELAIN</t>
  </si>
  <si>
    <t>CD542003</t>
  </si>
  <si>
    <t>WV 54 SLD SHELL PINK</t>
  </si>
  <si>
    <t>CD542002</t>
  </si>
  <si>
    <t>WV 54 SLD SPPHR BLUE</t>
  </si>
  <si>
    <t>FC245DK20001</t>
  </si>
  <si>
    <t>FC WV 45 BN PAIS BLU</t>
  </si>
  <si>
    <t>FC245DK20003</t>
  </si>
  <si>
    <t>FC WV 45 DK FERN GRY</t>
  </si>
  <si>
    <t>FC245DK20004</t>
  </si>
  <si>
    <t>FC WV 45 DK JN FL BK</t>
  </si>
  <si>
    <t>FC245DK20002</t>
  </si>
  <si>
    <t>FC WV 45 DSFLRL GRY</t>
  </si>
  <si>
    <t>FC245DK20005</t>
  </si>
  <si>
    <t>FC WV 45 GRN DMSK BL</t>
  </si>
  <si>
    <t>FC245DK20006</t>
  </si>
  <si>
    <t>FC WV 45 KHAKI</t>
  </si>
  <si>
    <t>FC245DK20008</t>
  </si>
  <si>
    <t>FC WV 45 PSLY MD RED</t>
  </si>
  <si>
    <t>FC245DK20009</t>
  </si>
  <si>
    <t>FC WV 45 PTCHWK TAN</t>
  </si>
  <si>
    <t>FC245DK20010</t>
  </si>
  <si>
    <t>FC WV 45 VINTG RS AP</t>
  </si>
  <si>
    <t>FC245DK20011</t>
  </si>
  <si>
    <t>FC WV 45 WDLD SCT BK</t>
  </si>
  <si>
    <t>FC245DK20012</t>
  </si>
  <si>
    <t>FC WV DK BNN LVS GRN</t>
  </si>
  <si>
    <t>FC245DK20013</t>
  </si>
  <si>
    <t>FC WV DK BTIK FL</t>
  </si>
  <si>
    <t>FC245DK20014</t>
  </si>
  <si>
    <t>FC WV DK BTIK FLRAL</t>
  </si>
  <si>
    <t>FC245DK20019</t>
  </si>
  <si>
    <t>FC WV DK CLC VFL SI</t>
  </si>
  <si>
    <t>FC245DK20018</t>
  </si>
  <si>
    <t>FC WV DK CLC VFL SL</t>
  </si>
  <si>
    <t>FC245DK20016</t>
  </si>
  <si>
    <t>FC WV DK CLCLG V FL</t>
  </si>
  <si>
    <t>FC245DK20015</t>
  </si>
  <si>
    <t>FC WV DK CLCLGVE FL</t>
  </si>
  <si>
    <t>FC245DK20017</t>
  </si>
  <si>
    <t>FC WV DK CLCMRS FL</t>
  </si>
  <si>
    <t>FC245DK20020</t>
  </si>
  <si>
    <t>FC WV DK DOGWOOD FL</t>
  </si>
  <si>
    <t>FC245DK20021</t>
  </si>
  <si>
    <t>FC WV DK FL ANTIQ</t>
  </si>
  <si>
    <t>FC245DK20023</t>
  </si>
  <si>
    <t>FC WV DK GNGH CLD</t>
  </si>
  <si>
    <t>FC245DK20022</t>
  </si>
  <si>
    <t>FC WV DK GRDN COC</t>
  </si>
  <si>
    <t>FC245DK20024</t>
  </si>
  <si>
    <t>FC WV DK JNMSS TL</t>
  </si>
  <si>
    <t>FC245DK20025</t>
  </si>
  <si>
    <t>FC WV DK LG SCL CC</t>
  </si>
  <si>
    <t>FC245DK20026</t>
  </si>
  <si>
    <t>FC WV DK LGDK NVY</t>
  </si>
  <si>
    <t>FC245DK20028</t>
  </si>
  <si>
    <t>FC WV DK LGST BK RD</t>
  </si>
  <si>
    <t>FC245DK20029</t>
  </si>
  <si>
    <t>FC WV DK LGST BLACK</t>
  </si>
  <si>
    <t>FC245DK20027</t>
  </si>
  <si>
    <t>FC WV DK LGSTP NIQ</t>
  </si>
  <si>
    <t>FC245DK20030</t>
  </si>
  <si>
    <t>FC245DK20031</t>
  </si>
  <si>
    <t>FC WV DK LOTUS MD SP</t>
  </si>
  <si>
    <t>FC245DK20035</t>
  </si>
  <si>
    <t>FC WV DK PRP MD WTCR</t>
  </si>
  <si>
    <t>FC245DK20034</t>
  </si>
  <si>
    <t xml:space="preserve">FC WV DK PRPPY BLU </t>
  </si>
  <si>
    <t>FC245DK20033</t>
  </si>
  <si>
    <t>FC245DK20032</t>
  </si>
  <si>
    <t>FC WV DK PSLY ANTIQ</t>
  </si>
  <si>
    <t>FC245DK20036</t>
  </si>
  <si>
    <t>FC WV DK TX SCRLL VN</t>
  </si>
  <si>
    <t>FC245DK20037</t>
  </si>
  <si>
    <t>FC WV DK TXTSL VN CD</t>
  </si>
  <si>
    <t>FC245DK20038</t>
  </si>
  <si>
    <t>FC WV FERN TEAL</t>
  </si>
  <si>
    <t>FC245DK20039</t>
  </si>
  <si>
    <t>WV FC 45 BEADS SPA</t>
  </si>
  <si>
    <t>FC245DK20040</t>
  </si>
  <si>
    <t>WV FC 45 BLACK</t>
  </si>
  <si>
    <t>FC245DK20041</t>
  </si>
  <si>
    <t>WV FC 45 DG WVE NVY</t>
  </si>
  <si>
    <t>FC245DK20043</t>
  </si>
  <si>
    <t>WV FC 45 DIAMND COCA</t>
  </si>
  <si>
    <t>FC245DK20044</t>
  </si>
  <si>
    <t>WV FC 45 DIAMND NAVY</t>
  </si>
  <si>
    <t>FC245DK20045</t>
  </si>
  <si>
    <t>WV FC 45 DIAMND RUBY</t>
  </si>
  <si>
    <t>FC245DK20046</t>
  </si>
  <si>
    <t>WV FC 45 DIS JAC NVY</t>
  </si>
  <si>
    <t>FC245DK20047</t>
  </si>
  <si>
    <t>WV FC 45 DISKS SPA</t>
  </si>
  <si>
    <t>FC245DK20050</t>
  </si>
  <si>
    <t>WV FC 45 DK CCDRL FL</t>
  </si>
  <si>
    <t>FC245DK20049</t>
  </si>
  <si>
    <t>WV FC 45 DK CLLGV FL</t>
  </si>
  <si>
    <t>FC245DK20051</t>
  </si>
  <si>
    <t>WV FC 45 DK FERN DEW</t>
  </si>
  <si>
    <t>FC245DK20052</t>
  </si>
  <si>
    <t>WV FC 45 DK GPPY GRY</t>
  </si>
  <si>
    <t>FC245DK20053</t>
  </si>
  <si>
    <t>WV FC 45 DK GPPY HNA</t>
  </si>
  <si>
    <t>FC245DK20054</t>
  </si>
  <si>
    <t>WV FC 45 DK GPPY NVY</t>
  </si>
  <si>
    <t>FC245DK20055</t>
  </si>
  <si>
    <t>WV FC 45 DK MLTSTRPE</t>
  </si>
  <si>
    <t>FC245DK20056</t>
  </si>
  <si>
    <t>WV FC 45 DK PRPPY YW</t>
  </si>
  <si>
    <t>FC245DK20058</t>
  </si>
  <si>
    <t>WV FC 45 DKGREY</t>
  </si>
  <si>
    <t>FC245DK20042</t>
  </si>
  <si>
    <t>WV FC 45 DMND CHAR</t>
  </si>
  <si>
    <t>FC245DK20059</t>
  </si>
  <si>
    <t>WV FC 45 EMPEROR-RED</t>
  </si>
  <si>
    <t>FC245DK20060</t>
  </si>
  <si>
    <t>WV FC 45 EMPERR-TEAL</t>
  </si>
  <si>
    <t>FC245DK20061</t>
  </si>
  <si>
    <t>WV FC 45 FLRL NAVY</t>
  </si>
  <si>
    <t>FC245DK20062</t>
  </si>
  <si>
    <t>WV FC 45 FLRL PAPAYA</t>
  </si>
  <si>
    <t>FC245DK20063</t>
  </si>
  <si>
    <t>WV FC 45 GARDEN SPA</t>
  </si>
  <si>
    <t>FC245DK20064</t>
  </si>
  <si>
    <t>WV FC 45 GATEWAY-SPA</t>
  </si>
  <si>
    <t>FC245DK20065</t>
  </si>
  <si>
    <t>WV FC 45 HENNA</t>
  </si>
  <si>
    <t>FC245DK20067</t>
  </si>
  <si>
    <t>WV FC 45 HRIBNE BK</t>
  </si>
  <si>
    <t>FC245DK20066</t>
  </si>
  <si>
    <t>WV FC 45 HRNB NAVY</t>
  </si>
  <si>
    <t>FC245DK20068</t>
  </si>
  <si>
    <t>WV FC 45 IKAT BLK</t>
  </si>
  <si>
    <t>FC245DK20069</t>
  </si>
  <si>
    <t>WV FC 45 IKAT NAVY</t>
  </si>
  <si>
    <t>FC245DK20070</t>
  </si>
  <si>
    <t>WV FC 45 INTRLK GREY</t>
  </si>
  <si>
    <t>FC245DK20071</t>
  </si>
  <si>
    <t>WV FC 45 LAT CRM/BLK</t>
  </si>
  <si>
    <t>FC245DK20072</t>
  </si>
  <si>
    <t>WV FC 45 LG DST SPYS</t>
  </si>
  <si>
    <t>FC245DK20073</t>
  </si>
  <si>
    <t>WV FC 45 LG FLRL PNK</t>
  </si>
  <si>
    <t>FC245DK20075</t>
  </si>
  <si>
    <t>WV FC 45 LGDMSK CHA</t>
  </si>
  <si>
    <t>FC245DK20074</t>
  </si>
  <si>
    <t>WV FC 45 LGDMSK CHR</t>
  </si>
  <si>
    <t>FC245DK20076</t>
  </si>
  <si>
    <t>WV FC 45 LGFR NV/GY</t>
  </si>
  <si>
    <t>FC245DK20077</t>
  </si>
  <si>
    <t>WV FC 45 LTGREY</t>
  </si>
  <si>
    <t>FC245DK20078</t>
  </si>
  <si>
    <t>WV FC 45 MEDALN SPA</t>
  </si>
  <si>
    <t>FC245DK20079</t>
  </si>
  <si>
    <t>WV FC 45 NAVY</t>
  </si>
  <si>
    <t>FC245DK20081</t>
  </si>
  <si>
    <t>WV FC 45 PAISLEY RED</t>
  </si>
  <si>
    <t>FC245DK20082</t>
  </si>
  <si>
    <t>WV FC 45 PAISLEY SPA</t>
  </si>
  <si>
    <t>FC245DK20080</t>
  </si>
  <si>
    <t>WV FC 45 PNT BRSH FL</t>
  </si>
  <si>
    <t>FC245DK20083</t>
  </si>
  <si>
    <t>WV FC 45 SCROLL BLK</t>
  </si>
  <si>
    <t>FC245DK20084</t>
  </si>
  <si>
    <t>WV FC 45 SHELL PINK</t>
  </si>
  <si>
    <t>FC245DK20087</t>
  </si>
  <si>
    <t>WV FC 45 SN FLR HTPK</t>
  </si>
  <si>
    <t>FC245DK20085</t>
  </si>
  <si>
    <t>WV FC 45 SNOW</t>
  </si>
  <si>
    <t>FC245DK20086</t>
  </si>
  <si>
    <t>WV FC 45 SPHERE NAVY</t>
  </si>
  <si>
    <t>FC245DK20088</t>
  </si>
  <si>
    <t>WV FC 45 TEAL</t>
  </si>
  <si>
    <t>FC245DK20090</t>
  </si>
  <si>
    <t>WV FC 45 TOILE GREY</t>
  </si>
  <si>
    <t>FC245DK20091</t>
  </si>
  <si>
    <t>WV FC 45 TRPCL BL</t>
  </si>
  <si>
    <t>FC245DK20092</t>
  </si>
  <si>
    <t>WV FC 45 TRPCL PINK</t>
  </si>
  <si>
    <t>FC245DK20095</t>
  </si>
  <si>
    <t>WV FC 45 WID STR NVY</t>
  </si>
  <si>
    <t>FC245DK20096</t>
  </si>
  <si>
    <t>WV FC 45 WID STR SPA</t>
  </si>
  <si>
    <t>FC245DK20097</t>
  </si>
  <si>
    <t>WV FC 45 WTCL FLR TL</t>
  </si>
  <si>
    <t>FC245DK20098</t>
  </si>
  <si>
    <t>WV FC 45 WTRCL NVY</t>
  </si>
  <si>
    <t>FC245DK20099</t>
  </si>
  <si>
    <t>WVFC 45 FLRL GREY</t>
  </si>
  <si>
    <t>FQ Prints 20</t>
  </si>
  <si>
    <t>PCP20001</t>
  </si>
  <si>
    <t>WV PCQ BTS NTICAL</t>
  </si>
  <si>
    <t>PCP20002</t>
  </si>
  <si>
    <t>WV PCQ HEEHAW AQUA</t>
  </si>
  <si>
    <t>PCP20003</t>
  </si>
  <si>
    <t>WV PCQ HOWDY POPPY</t>
  </si>
  <si>
    <t>PCP20004</t>
  </si>
  <si>
    <t>WV PCQ LENS PROVENCE</t>
  </si>
  <si>
    <t>PCP20005</t>
  </si>
  <si>
    <t>WV PCQ PATCHES MULTI</t>
  </si>
  <si>
    <t>PCP20006</t>
  </si>
  <si>
    <t>WV PCQ PIT HRS WT MI</t>
  </si>
  <si>
    <t>81004033139</t>
  </si>
  <si>
    <t>Mainstays Yarn Dye Flannel</t>
  </si>
  <si>
    <t>Fleece 20 Precut</t>
  </si>
  <si>
    <t>FC1HFLC19</t>
  </si>
  <si>
    <t>FCFLC FOIL HRT GREY</t>
  </si>
  <si>
    <t>Fleece 20</t>
  </si>
  <si>
    <t>FLC2004</t>
  </si>
  <si>
    <t>FLC EMBOSSED MED GRY</t>
  </si>
  <si>
    <t>FLC2007</t>
  </si>
  <si>
    <t>FLC EMBOSSED WHT</t>
  </si>
  <si>
    <t>Basic and Utility</t>
  </si>
  <si>
    <t>OS214401</t>
  </si>
  <si>
    <t>Osnaburg 44/45" UNB</t>
  </si>
  <si>
    <t>DOGA215201</t>
  </si>
  <si>
    <t>Double Gauze 52" UNB</t>
  </si>
  <si>
    <t>MS213601</t>
  </si>
  <si>
    <t>Muslin 36/38" UNB</t>
  </si>
  <si>
    <t>MS213602</t>
  </si>
  <si>
    <t>Muslin 36/38" BLE</t>
  </si>
  <si>
    <t>MS219002</t>
  </si>
  <si>
    <t>Muslin 90" BLE</t>
  </si>
  <si>
    <t>MS211802</t>
  </si>
  <si>
    <t>Muslin 118/120" BLE</t>
  </si>
  <si>
    <t>MS210802</t>
  </si>
  <si>
    <t>Muslin 108" BLE</t>
  </si>
  <si>
    <t>MS214402</t>
  </si>
  <si>
    <t>Muslin 44/45" BLE</t>
  </si>
  <si>
    <t>BO215401</t>
  </si>
  <si>
    <t>BLCKT LNNG FBRC 54"</t>
  </si>
  <si>
    <t>MS211801</t>
  </si>
  <si>
    <t>Muslin 118/120" UNB</t>
  </si>
  <si>
    <t>MS21NW01</t>
  </si>
  <si>
    <t>NATRWY MLN 47/8" UNB</t>
  </si>
  <si>
    <t>MS219001</t>
  </si>
  <si>
    <t>Muslin 90" UNB</t>
  </si>
  <si>
    <t>MS44TE01</t>
  </si>
  <si>
    <t>Muslin 44/45" TEA</t>
  </si>
  <si>
    <t>MS210801</t>
  </si>
  <si>
    <t>Muslin 108" UNB</t>
  </si>
  <si>
    <t>MS214401</t>
  </si>
  <si>
    <t>Muslin 44/45" UNB</t>
  </si>
  <si>
    <t>Mainstay Flannel YD</t>
  </si>
  <si>
    <t>Mainstay Flannel Precut</t>
  </si>
  <si>
    <t>FC FLN PR PRECS PLS</t>
  </si>
  <si>
    <t>FLN2001</t>
  </si>
  <si>
    <t>FC FLN PR RBBNS 1.5Y</t>
  </si>
  <si>
    <t>FLN2002</t>
  </si>
  <si>
    <t>FC FLN PR RND DT SWT</t>
  </si>
  <si>
    <t>FLN2003</t>
  </si>
  <si>
    <t>FLN2007</t>
  </si>
  <si>
    <t>FLN BLK PLAID</t>
  </si>
  <si>
    <t>FLN2005</t>
  </si>
  <si>
    <t>FLN BLK RED CHECK</t>
  </si>
  <si>
    <t>FLN2004</t>
  </si>
  <si>
    <t>FLN BLK RED PLAID</t>
  </si>
  <si>
    <t>FLN2008</t>
  </si>
  <si>
    <t>FLN GREY PLAID</t>
  </si>
  <si>
    <t>FLN2011</t>
  </si>
  <si>
    <t>FLN PLAID NAVY WHITE</t>
  </si>
  <si>
    <t>FLN2010</t>
  </si>
  <si>
    <t>FLN PLD GRN RED WHT</t>
  </si>
  <si>
    <t>FLN2009</t>
  </si>
  <si>
    <t>FLN PLD RED BLU GRN</t>
  </si>
  <si>
    <t>FLN2012</t>
  </si>
  <si>
    <t>FLN PLD WHT RD GRN</t>
  </si>
  <si>
    <t>Mainstay Flannel Prints</t>
  </si>
  <si>
    <t>FLN PR PRECS PLS</t>
  </si>
  <si>
    <t>FLN PR RBBNS</t>
  </si>
  <si>
    <t>FLN PR RND DT SWT</t>
  </si>
  <si>
    <t>FLN2006</t>
  </si>
  <si>
    <t>FLN RED CRM PLAID</t>
  </si>
  <si>
    <t>中纺国际O</t>
  </si>
  <si>
    <t>中纺国际Z</t>
  </si>
  <si>
    <t>荟宁</t>
  </si>
  <si>
    <t>沙印X</t>
  </si>
  <si>
    <t>沙印G</t>
  </si>
  <si>
    <t>黄建良</t>
  </si>
  <si>
    <t>Rajan</t>
  </si>
  <si>
    <t>suppliers</t>
  </si>
  <si>
    <t>Units</t>
  </si>
  <si>
    <t>domestic</t>
  </si>
  <si>
    <t>Item#</t>
  </si>
  <si>
    <t>Item Desc.</t>
  </si>
  <si>
    <t>Core/Fashion</t>
  </si>
  <si>
    <t>9 digit#</t>
  </si>
  <si>
    <t>WHPK</t>
  </si>
  <si>
    <t>VNPK</t>
  </si>
  <si>
    <t>Curr. Repl Store Cnt</t>
  </si>
  <si>
    <t>Instock %</t>
  </si>
  <si>
    <t>Units for OS</t>
  </si>
  <si>
    <t>Curr. On Hand</t>
  </si>
  <si>
    <t>Production Lead time(WKS)</t>
  </si>
  <si>
    <t>Transit Lead Time(WKS)</t>
  </si>
  <si>
    <t>Leadtime(WKS)</t>
  </si>
  <si>
    <t>Next order(WKS)</t>
  </si>
  <si>
    <t>Safety Stock(WKS)</t>
  </si>
  <si>
    <t>Proj Arrival</t>
  </si>
  <si>
    <t>WOS</t>
  </si>
  <si>
    <t>Other format</t>
  </si>
  <si>
    <t>Other format Need</t>
  </si>
  <si>
    <t>Core</t>
  </si>
  <si>
    <t>Fashion</t>
  </si>
  <si>
    <t>FC1PR226</t>
  </si>
  <si>
    <t xml:space="preserve">WV FC PAISLEY SWIRL </t>
  </si>
  <si>
    <t>1 yard cut prints 21</t>
  </si>
  <si>
    <t>FC1PR227</t>
  </si>
  <si>
    <t xml:space="preserve">WV FC CATALINA ROSE </t>
  </si>
  <si>
    <t>FC1PR228</t>
  </si>
  <si>
    <t>WV FC LEMON TREE HOT</t>
  </si>
  <si>
    <t>FC1PR229</t>
  </si>
  <si>
    <t>WV FC DOG PARK CHG T</t>
  </si>
  <si>
    <t>FC1PR230</t>
  </si>
  <si>
    <t xml:space="preserve">WV FC SAILOR STRIPE </t>
  </si>
  <si>
    <t>FC1PR231</t>
  </si>
  <si>
    <t>WV FC FINAL RING O S</t>
  </si>
  <si>
    <t>FC1PR232</t>
  </si>
  <si>
    <t>WV FC MINI SCROLL LI</t>
  </si>
  <si>
    <t>FC1PR233</t>
  </si>
  <si>
    <t>WV FC LEOPARD PRUSSI</t>
  </si>
  <si>
    <t>FC1PR234</t>
  </si>
  <si>
    <t xml:space="preserve">WV FC FLORAL MEMORY </t>
  </si>
  <si>
    <t>FC1PR235</t>
  </si>
  <si>
    <t xml:space="preserve">WV FC HYDRANGEA IVY </t>
  </si>
  <si>
    <t>FC1PR236</t>
  </si>
  <si>
    <t>WV FC WILD THING MAG</t>
  </si>
  <si>
    <t>FC1PR237</t>
  </si>
  <si>
    <t>WV FC SWAYING LEAVES</t>
  </si>
  <si>
    <t>FC1PR238</t>
  </si>
  <si>
    <t>WV FC BLOSSOM LATTIC</t>
  </si>
  <si>
    <t>FC1PR239</t>
  </si>
  <si>
    <t>FC1PR240</t>
  </si>
  <si>
    <t>WV FC BOHO BLANKET P</t>
  </si>
  <si>
    <t>FC1PR241</t>
  </si>
  <si>
    <t>FC1PR242</t>
  </si>
  <si>
    <t>WV FC MAGIC CARPET S</t>
  </si>
  <si>
    <t>FC1PR243</t>
  </si>
  <si>
    <t>WV FC CHARLOTTE VINE</t>
  </si>
  <si>
    <t>FC1PR244</t>
  </si>
  <si>
    <t>WV FC WOODBLOCK 2 BU</t>
  </si>
  <si>
    <t>FC1PR245</t>
  </si>
  <si>
    <t>FC1PR246</t>
  </si>
  <si>
    <t>WV FC FINAL RING 0 C</t>
  </si>
  <si>
    <t>FC1PR247</t>
  </si>
  <si>
    <t>WV FC DOG PARK BALLE</t>
  </si>
  <si>
    <t>FC1PR248</t>
  </si>
  <si>
    <t>WV FC PARIS DAYS BUT</t>
  </si>
  <si>
    <t>PB2101</t>
  </si>
  <si>
    <t>PCQ BNDL PRFRESH 6 A</t>
  </si>
  <si>
    <t>Fabric Bundle 21</t>
  </si>
  <si>
    <t>WV FC SLD LAVENDER F</t>
  </si>
  <si>
    <t>FQ Solids 21</t>
  </si>
  <si>
    <t>G21001</t>
  </si>
  <si>
    <t>WV BRIDGET FLR BLK</t>
  </si>
  <si>
    <t>Prints 21</t>
  </si>
  <si>
    <t>G21002</t>
  </si>
  <si>
    <t>WV DOG PARK NYX STEE</t>
  </si>
  <si>
    <t>G21003</t>
  </si>
  <si>
    <t>WV BLOSSOM LATTICE P</t>
  </si>
  <si>
    <t>G21004</t>
  </si>
  <si>
    <t>WV TRACKS POPPY</t>
  </si>
  <si>
    <t>G21005</t>
  </si>
  <si>
    <t>WV TRACKS ONYX</t>
  </si>
  <si>
    <t>G21006</t>
  </si>
  <si>
    <t>WV SAILOR STRIPES PO</t>
  </si>
  <si>
    <t>G21007</t>
  </si>
  <si>
    <t>WV PARIS DAYS FLORAL</t>
  </si>
  <si>
    <t>G21008</t>
  </si>
  <si>
    <t>WV TEATIME BLK GRY</t>
  </si>
  <si>
    <t>G21009</t>
  </si>
  <si>
    <t>WV SAILOR STRIPES GL</t>
  </si>
  <si>
    <t>G21010</t>
  </si>
  <si>
    <t>WV WOODBLOCK 2 STEEL</t>
  </si>
  <si>
    <t>G21011</t>
  </si>
  <si>
    <t>WV BLOSSOM LATTICE F</t>
  </si>
  <si>
    <t>G21012</t>
  </si>
  <si>
    <t>WV SWAYING LEAVES LQ</t>
  </si>
  <si>
    <t>G21013</t>
  </si>
  <si>
    <t>WV TRACKS INK</t>
  </si>
  <si>
    <t>G21014</t>
  </si>
  <si>
    <t>WV IVY GARDEN INK</t>
  </si>
  <si>
    <t>G21015</t>
  </si>
  <si>
    <t>WV SAILOR STRIPES IN</t>
  </si>
  <si>
    <t>G21016</t>
  </si>
  <si>
    <t>WV BRIDGET FLR FLORA</t>
  </si>
  <si>
    <t>G21017</t>
  </si>
  <si>
    <t xml:space="preserve">WV BIRDS OF FEATHER </t>
  </si>
  <si>
    <t>G21018</t>
  </si>
  <si>
    <t xml:space="preserve">WV GLOBAL MEDALLION </t>
  </si>
  <si>
    <t>G21019</t>
  </si>
  <si>
    <t>WV WILD SPOTS LAPIS</t>
  </si>
  <si>
    <t>G21020</t>
  </si>
  <si>
    <t>WV PAISLEY SWIRL 9 P</t>
  </si>
  <si>
    <t>G21021</t>
  </si>
  <si>
    <t>G21022</t>
  </si>
  <si>
    <t>WV TRACKS SUNSHINE</t>
  </si>
  <si>
    <t>G21023</t>
  </si>
  <si>
    <t>WV LEMON TREE LQ INK</t>
  </si>
  <si>
    <t>G21024</t>
  </si>
  <si>
    <t>WV CHARLOTTE VINE PR</t>
  </si>
  <si>
    <t>G21025</t>
  </si>
  <si>
    <t>WV GARDEN PAISLEY NA</t>
  </si>
  <si>
    <t>G21026</t>
  </si>
  <si>
    <t>WV FLORAL MEMORY</t>
  </si>
  <si>
    <t>G21027</t>
  </si>
  <si>
    <t>G21028</t>
  </si>
  <si>
    <t>G21029</t>
  </si>
  <si>
    <t>WV BLOSSOM LATTICE A</t>
  </si>
  <si>
    <t>G21030</t>
  </si>
  <si>
    <t>WV WILD SPOTS MAGENT</t>
  </si>
  <si>
    <t>G21031</t>
  </si>
  <si>
    <t>WV PAISLEY SWIRL 9 M</t>
  </si>
  <si>
    <t>G21032</t>
  </si>
  <si>
    <t>WV PARIS DAYS BUTTER</t>
  </si>
  <si>
    <t>G21033</t>
  </si>
  <si>
    <t>WV CHARLOTTE VINE CA</t>
  </si>
  <si>
    <t>G21034</t>
  </si>
  <si>
    <t>WV MAGIC CARPET SM I</t>
  </si>
  <si>
    <t>G21035</t>
  </si>
  <si>
    <t>G21036</t>
  </si>
  <si>
    <t xml:space="preserve">WV BRIDGET FLORAL - </t>
  </si>
  <si>
    <t>G21037</t>
  </si>
  <si>
    <t xml:space="preserve">WV SAILOR STRIPES - </t>
  </si>
  <si>
    <t>G21038</t>
  </si>
  <si>
    <t>WV BLOSSOM LATTICE W</t>
  </si>
  <si>
    <t>G21039</t>
  </si>
  <si>
    <t xml:space="preserve">WV FLORAL GREY FROM </t>
  </si>
  <si>
    <t>G21040</t>
  </si>
  <si>
    <t>WV JANEMSE FLORAL BL</t>
  </si>
  <si>
    <t>G21041</t>
  </si>
  <si>
    <t>WV KEEN DOGS 18IN BL</t>
  </si>
  <si>
    <t>G21042</t>
  </si>
  <si>
    <t>WV TEATIME AQUA</t>
  </si>
  <si>
    <t>G21043</t>
  </si>
  <si>
    <t>WV MINI SCROLL LIME</t>
  </si>
  <si>
    <t>G21044</t>
  </si>
  <si>
    <t>WV FERN AQUA</t>
  </si>
  <si>
    <t>G21045</t>
  </si>
  <si>
    <t>WV CATALINA ROSE DEW</t>
  </si>
  <si>
    <t>G21046</t>
  </si>
  <si>
    <t>WV CLASSIC LARGE VIN</t>
  </si>
  <si>
    <t>G21047</t>
  </si>
  <si>
    <t>WV MULTI STRIP CW9 C</t>
  </si>
  <si>
    <t>G21048</t>
  </si>
  <si>
    <t>WV KEEN DOGS 18IN NA</t>
  </si>
  <si>
    <t>G21049</t>
  </si>
  <si>
    <t>WV TAHITI NAVY</t>
  </si>
  <si>
    <t>G21050</t>
  </si>
  <si>
    <t>WV TEA GARDEN NAVY</t>
  </si>
  <si>
    <t>G21051</t>
  </si>
  <si>
    <t>WV TOILE GREY FROM H</t>
  </si>
  <si>
    <t>S132021001</t>
  </si>
  <si>
    <t>ROSEMAR MD FLR CREAM</t>
  </si>
  <si>
    <t>S132021002</t>
  </si>
  <si>
    <t>ROSEMAR VINCE YELLOW</t>
  </si>
  <si>
    <t>S132021003</t>
  </si>
  <si>
    <t xml:space="preserve">NATURALS SM PAISLEY </t>
  </si>
  <si>
    <t>&gt;52</t>
  </si>
  <si>
    <t>81004033506</t>
  </si>
  <si>
    <t>bundles 21</t>
  </si>
  <si>
    <t>FC1SD2101</t>
  </si>
  <si>
    <t>1ydcut solid 21</t>
  </si>
  <si>
    <t>1ydcut Solids 21</t>
  </si>
  <si>
    <t>WK52</t>
  </si>
  <si>
    <t>WK50</t>
  </si>
  <si>
    <t>WK02</t>
  </si>
  <si>
    <t>Walmart Replenishment M9B</t>
  </si>
  <si>
    <t>Date: 9-29-2021</t>
  </si>
  <si>
    <t>santee</t>
  </si>
  <si>
    <t>WK04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</si>
</sst>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(* #,##0.00_);_(* \(#,##0.00\);_(* &quot;-&quot;??_);_(@_)"/>
    <numFmt numFmtId="164" formatCode="_(* #,##0_);_(* \(#,##0\);_(* &quot;-&quot;??_);_(@_)"/>
    <numFmt numFmtId="165" formatCode="0.0%"/>
  </numFmts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40">
    <xf numFmtId="0" fontId="0" fillId="0" borderId="0" xfId="0"/>
    <xf numFmtId="0" fontId="0" fillId="0" borderId="0" xfId="0" applyAlignment="1">
      <alignment horizontal="center" vertical="center"/>
    </xf>
    <xf numFmtId="164" fontId="0" fillId="0" borderId="0" xfId="1" applyNumberFormat="1" applyFont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0" fillId="0" borderId="0" xfId="0" applyBorder="1" applyAlignment="1">
      <alignment horizontal="center"/>
    </xf>
    <xf numFmtId="0" fontId="2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0" borderId="0" xfId="0" applyNumberFormat="1" applyAlignment="1">
      <alignment horizontal="center"/>
    </xf>
    <xf numFmtId="0" fontId="2" fillId="0" borderId="0" xfId="0" applyFont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164" fontId="0" fillId="0" borderId="0" xfId="1" applyNumberFormat="1" applyFont="1" applyAlignment="1">
      <alignment horizontal="center"/>
    </xf>
    <xf numFmtId="0" fontId="0" fillId="0" borderId="0" xfId="0" applyFill="1" applyAlignment="1">
      <alignment horizontal="center" vertical="center"/>
    </xf>
    <xf numFmtId="0" fontId="0" fillId="2" borderId="0" xfId="0" applyFill="1"/>
    <xf numFmtId="1" fontId="0" fillId="0" borderId="0" xfId="0" applyNumberFormat="1" applyAlignment="1">
      <alignment horizontal="center" vertical="center"/>
    </xf>
    <xf numFmtId="1" fontId="0" fillId="0" borderId="0" xfId="1" applyNumberFormat="1" applyFont="1" applyAlignment="1">
      <alignment horizontal="center" vertical="center"/>
    </xf>
    <xf numFmtId="1" fontId="0" fillId="0" borderId="0" xfId="0" applyNumberFormat="1" applyFill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0" fontId="0" fillId="0" borderId="0" xfId="0" applyNumberFormat="1" applyFill="1" applyAlignment="1">
      <alignment horizontal="center" vertical="center"/>
    </xf>
    <xf numFmtId="0" fontId="0" fillId="0" borderId="0" xfId="0"/>
    <xf numFmtId="0" fontId="5" fillId="3" borderId="0" xfId="0" applyFont="1" applyFill="1" applyAlignment="1">
      <alignment horizontal="center"/>
    </xf>
    <xf numFmtId="0" fontId="5" fillId="3" borderId="0" xfId="0" applyFont="1" applyFill="1"/>
    <xf numFmtId="165" fontId="5" fillId="3" borderId="0" xfId="2" applyNumberFormat="1" applyFont="1" applyFill="1" applyAlignment="1">
      <alignment horizontal="center"/>
    </xf>
    <xf numFmtId="164" fontId="5" fillId="3" borderId="0" xfId="1" applyNumberFormat="1" applyFont="1" applyFill="1" applyAlignment="1">
      <alignment horizontal="center"/>
    </xf>
    <xf numFmtId="43" fontId="5" fillId="3" borderId="0" xfId="1" applyFont="1" applyFill="1" applyAlignment="1">
      <alignment horizontal="center"/>
    </xf>
    <xf numFmtId="165" fontId="0" fillId="0" borderId="0" xfId="2" applyNumberFormat="1" applyFont="1"/>
    <xf numFmtId="164" fontId="0" fillId="0" borderId="0" xfId="1" applyNumberFormat="1" applyFont="1"/>
    <xf numFmtId="164" fontId="0" fillId="0" borderId="0" xfId="0" applyNumberFormat="1"/>
    <xf numFmtId="43" fontId="0" fillId="0" borderId="0" xfId="1" applyFont="1"/>
    <xf numFmtId="0" fontId="0" fillId="2" borderId="0" xfId="0" applyFill="1"/>
    <xf numFmtId="165" fontId="0" fillId="2" borderId="0" xfId="2" applyNumberFormat="1" applyFont="1" applyFill="1"/>
    <xf numFmtId="164" fontId="0" fillId="2" borderId="0" xfId="1" applyNumberFormat="1" applyFont="1" applyFill="1"/>
    <xf numFmtId="164" fontId="0" fillId="2" borderId="0" xfId="0" applyNumberFormat="1" applyFill="1"/>
    <xf numFmtId="43" fontId="0" fillId="2" borderId="0" xfId="1" applyFont="1" applyFill="1"/>
    <xf numFmtId="0" fontId="3" fillId="0" borderId="0" xfId="0" applyFont="1" applyAlignment="1">
      <alignment horizontal="left" vertical="center"/>
    </xf>
    <xf numFmtId="0" fontId="0" fillId="0" borderId="0" xfId="0" applyAlignment="1">
      <alignment horizontal="right" vertical="center"/>
    </xf>
    <xf numFmtId="0" fontId="3" fillId="0" borderId="0" xfId="0" applyFont="1" applyAlignment="1">
      <alignment horizontal="left"/>
    </xf>
    <xf numFmtId="0" fontId="0" fillId="0" borderId="0" xfId="0" applyAlignment="1">
      <alignment horizontal="right"/>
    </xf>
    <xf numFmtId="0" fontId="3" fillId="0" borderId="0" xfId="0" applyFont="1" applyBorder="1" applyAlignment="1">
      <alignment horizontal="left"/>
    </xf>
    <xf numFmtId="0" fontId="0" fillId="0" borderId="0" xfId="0" applyBorder="1" applyAlignment="1">
      <alignment horizontal="right"/>
    </xf>
  </cellXfs>
  <cellStyles count="3">
    <cellStyle name="Comma" xfId="1" builtinId="3"/>
    <cellStyle name="Normal" xfId="0" builtinId="0"/>
    <cellStyle name="Percent" xfId="2" builtinId="5"/>
  </cellStyles>
  <dxfs count="1">
    <dxf>
      <fill>
        <patternFill>
          <bgColor rgb="FFFFC000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266700</xdr:colOff>
          <xdr:row>0</xdr:row>
          <xdr:rowOff>0</xdr:rowOff>
        </xdr:from>
        <xdr:to>
          <xdr:col>10</xdr:col>
          <xdr:colOff>152400</xdr:colOff>
          <xdr:row>3</xdr:row>
          <xdr:rowOff>63500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Breakdown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Q905"/>
  <sheetViews>
    <sheetView tabSelected="1" zoomScale="70" zoomScaleNormal="70" workbookViewId="0">
      <selection activeCell="I17" sqref="I17"/>
    </sheetView>
  </sheetViews>
  <sheetFormatPr baseColWidth="10" defaultColWidth="9.1640625" defaultRowHeight="15" x14ac:dyDescent="0.2"/>
  <cols>
    <col min="1" max="1" width="25" style="1" bestFit="1" customWidth="1"/>
    <col min="2" max="2" width="16.83203125" style="1" bestFit="1" customWidth="1"/>
    <col min="3" max="3" width="19.1640625" style="1" bestFit="1" customWidth="1"/>
    <col min="4" max="4" width="26.6640625" style="2" bestFit="1" customWidth="1"/>
    <col min="5" max="5" width="32.33203125" style="14" bestFit="1" customWidth="1"/>
    <col min="6" max="7" width="10.1640625" style="1" bestFit="1" customWidth="1"/>
    <col min="8" max="8" width="9.5" style="1" customWidth="1"/>
    <col min="9" max="9" width="9.1640625" style="1"/>
    <col min="10" max="10" width="24.5" style="1" customWidth="1"/>
    <col min="11" max="11" width="12.5" style="1" bestFit="1" customWidth="1"/>
    <col min="12" max="12" width="11.1640625" style="1" bestFit="1" customWidth="1"/>
    <col min="13" max="13" width="15.5" style="1" bestFit="1" customWidth="1"/>
    <col min="14" max="14" width="10" style="1" bestFit="1" customWidth="1"/>
    <col min="15" max="15" width="15.5" style="1" bestFit="1" customWidth="1"/>
    <col min="16" max="16" width="11.5" style="1" bestFit="1" customWidth="1"/>
    <col min="17" max="17" width="12.5" style="1" bestFit="1" customWidth="1"/>
    <col min="18" max="16384" width="9.1640625" style="1"/>
  </cols>
  <sheetData>
    <row r="1" spans="1:17" x14ac:dyDescent="0.2">
      <c r="A1" s="1" t="s">
        <v>432</v>
      </c>
      <c r="B1" s="1" t="s">
        <v>3</v>
      </c>
      <c r="C1" s="1" t="s">
        <v>374</v>
      </c>
      <c r="D1" s="2" t="s">
        <v>1</v>
      </c>
      <c r="E1" s="14" t="s">
        <v>2</v>
      </c>
      <c r="F1" s="1" t="s">
        <v>367</v>
      </c>
      <c r="G1" s="1" t="s">
        <v>522</v>
      </c>
      <c r="H1" s="1" t="s">
        <v>1121</v>
      </c>
      <c r="L1" s="1" t="s">
        <v>1755</v>
      </c>
      <c r="M1" s="1" t="s">
        <v>1756</v>
      </c>
    </row>
    <row r="2" spans="1:17" x14ac:dyDescent="0.2">
      <c r="A2" s="1" t="s">
        <v>523</v>
      </c>
      <c r="B2" s="2" t="s">
        <v>525</v>
      </c>
      <c r="C2" s="1">
        <v>567148962</v>
      </c>
      <c r="D2" s="1" t="s">
        <v>524</v>
      </c>
      <c r="E2" s="14">
        <v>81005603289</v>
      </c>
      <c r="F2" s="2">
        <f>IFERROR(VLOOKUP(B2,M10B!B:W,22,FALSE),0)</f>
        <v>0</v>
      </c>
      <c r="G2" s="1">
        <f>CEILING(F2,128)</f>
        <v>0</v>
      </c>
      <c r="I2" s="17"/>
      <c r="L2" s="1" t="s">
        <v>1748</v>
      </c>
      <c r="M2" s="2"/>
      <c r="O2" s="2">
        <f>SUM(中纺国际O!F:F)</f>
        <v>0</v>
      </c>
      <c r="P2" s="1" t="b">
        <f t="shared" ref="P2:P9" si="0">O2=M2</f>
        <v>1</v>
      </c>
      <c r="Q2" s="17">
        <f>SUM(M2:M9)</f>
        <v>0</v>
      </c>
    </row>
    <row r="3" spans="1:17" x14ac:dyDescent="0.2">
      <c r="A3" s="1" t="s">
        <v>523</v>
      </c>
      <c r="B3" s="1" t="s">
        <v>527</v>
      </c>
      <c r="C3" s="1">
        <v>567148800</v>
      </c>
      <c r="D3" s="1" t="s">
        <v>526</v>
      </c>
      <c r="E3" s="15">
        <v>81005603288</v>
      </c>
      <c r="F3" s="2">
        <f>IFERROR(VLOOKUP(B3,M10B!B:W,22,FALSE),0)</f>
        <v>0</v>
      </c>
      <c r="G3" s="1">
        <f>CEILING(F3,128)</f>
        <v>0</v>
      </c>
      <c r="I3" s="17"/>
      <c r="L3" s="1" t="s">
        <v>1749</v>
      </c>
      <c r="M3" s="2"/>
      <c r="O3" s="2">
        <f>SUM(中纺国际Z!F:F)</f>
        <v>0</v>
      </c>
      <c r="P3" s="1" t="b">
        <f t="shared" si="0"/>
        <v>1</v>
      </c>
    </row>
    <row r="4" spans="1:17" x14ac:dyDescent="0.2">
      <c r="A4" s="1" t="s">
        <v>523</v>
      </c>
      <c r="B4" s="2" t="s">
        <v>529</v>
      </c>
      <c r="C4" s="1">
        <v>567148806</v>
      </c>
      <c r="D4" s="1" t="s">
        <v>528</v>
      </c>
      <c r="E4" s="14">
        <v>81005603337</v>
      </c>
      <c r="F4" s="2">
        <f>IFERROR(VLOOKUP(B4,M10B!B:W,22,FALSE),0)</f>
        <v>0</v>
      </c>
      <c r="G4" s="1">
        <f>CEILING(F4,128)</f>
        <v>0</v>
      </c>
      <c r="I4" s="17"/>
      <c r="L4" s="1" t="s">
        <v>1750</v>
      </c>
      <c r="M4" s="2"/>
      <c r="O4" s="2">
        <f>SUM(荟宁!F:F)</f>
        <v>0</v>
      </c>
      <c r="P4" s="1" t="b">
        <f t="shared" si="0"/>
        <v>1</v>
      </c>
    </row>
    <row r="5" spans="1:17" x14ac:dyDescent="0.2">
      <c r="A5" s="1" t="s">
        <v>523</v>
      </c>
      <c r="B5" s="2" t="s">
        <v>531</v>
      </c>
      <c r="C5" s="1">
        <v>567148870</v>
      </c>
      <c r="D5" s="1" t="s">
        <v>530</v>
      </c>
      <c r="E5" s="14">
        <v>81005603322</v>
      </c>
      <c r="F5" s="2">
        <f>IFERROR(VLOOKUP(B5,M10B!B:W,22,FALSE),0)</f>
        <v>0</v>
      </c>
      <c r="G5" s="1">
        <f>CEILING(F5,128)</f>
        <v>0</v>
      </c>
      <c r="I5" s="17"/>
      <c r="L5" s="1" t="s">
        <v>1751</v>
      </c>
      <c r="M5" s="2"/>
      <c r="O5" s="2">
        <f>SUM(张家港沙印X!F:F)</f>
        <v>0</v>
      </c>
      <c r="P5" s="1" t="b">
        <f t="shared" si="0"/>
        <v>1</v>
      </c>
    </row>
    <row r="6" spans="1:17" x14ac:dyDescent="0.2">
      <c r="A6" s="1" t="s">
        <v>523</v>
      </c>
      <c r="B6" s="2" t="s">
        <v>533</v>
      </c>
      <c r="C6" s="1">
        <v>567148883</v>
      </c>
      <c r="D6" s="1" t="s">
        <v>532</v>
      </c>
      <c r="E6" s="14">
        <v>81005603357</v>
      </c>
      <c r="F6" s="2">
        <f>IFERROR(VLOOKUP(B6,M10B!B:W,22,FALSE),0)</f>
        <v>0</v>
      </c>
      <c r="G6" s="1">
        <f>CEILING(F6,128)</f>
        <v>0</v>
      </c>
      <c r="I6" s="17"/>
      <c r="L6" s="1" t="s">
        <v>1752</v>
      </c>
      <c r="M6" s="2"/>
      <c r="N6" s="1">
        <v>4110</v>
      </c>
      <c r="O6" s="2">
        <f>SUM(张家港沙印G!F:F)</f>
        <v>8978</v>
      </c>
      <c r="P6" s="1" t="b">
        <f t="shared" si="0"/>
        <v>0</v>
      </c>
    </row>
    <row r="7" spans="1:17" x14ac:dyDescent="0.2">
      <c r="A7" s="1" t="s">
        <v>523</v>
      </c>
      <c r="B7" s="1" t="s">
        <v>535</v>
      </c>
      <c r="C7" s="1">
        <v>567148906</v>
      </c>
      <c r="D7" s="1" t="s">
        <v>534</v>
      </c>
      <c r="E7" s="15">
        <v>81005603318</v>
      </c>
      <c r="F7" s="2">
        <f>IFERROR(VLOOKUP(B7,M10B!B:W,22,FALSE),0)</f>
        <v>0</v>
      </c>
      <c r="G7" s="1">
        <f t="shared" ref="G7:G38" si="1">CEILING(F7,112)</f>
        <v>0</v>
      </c>
      <c r="I7" s="17"/>
      <c r="L7" s="1" t="s">
        <v>1753</v>
      </c>
      <c r="M7" s="2"/>
      <c r="N7" s="1">
        <v>4111</v>
      </c>
      <c r="O7" s="2">
        <f>SUM(浙江百业!F:F)</f>
        <v>69940</v>
      </c>
      <c r="P7" s="1" t="b">
        <f t="shared" si="0"/>
        <v>0</v>
      </c>
    </row>
    <row r="8" spans="1:17" x14ac:dyDescent="0.2">
      <c r="A8" s="1" t="s">
        <v>523</v>
      </c>
      <c r="B8" s="2" t="s">
        <v>537</v>
      </c>
      <c r="C8" s="1">
        <v>567148998</v>
      </c>
      <c r="D8" s="1" t="s">
        <v>536</v>
      </c>
      <c r="E8" s="14">
        <v>81005603359</v>
      </c>
      <c r="F8" s="2">
        <f>IFERROR(VLOOKUP(B8,M10B!B:W,22,FALSE),0)</f>
        <v>0</v>
      </c>
      <c r="G8" s="1">
        <f t="shared" si="1"/>
        <v>0</v>
      </c>
      <c r="I8" s="17"/>
      <c r="L8" s="1" t="s">
        <v>1754</v>
      </c>
      <c r="M8" s="2"/>
      <c r="O8" s="2">
        <f>SUM(MrRajan!F:F)</f>
        <v>0</v>
      </c>
      <c r="P8" s="1" t="b">
        <f t="shared" si="0"/>
        <v>1</v>
      </c>
    </row>
    <row r="9" spans="1:17" x14ac:dyDescent="0.2">
      <c r="A9" s="1" t="s">
        <v>523</v>
      </c>
      <c r="B9" s="2" t="s">
        <v>539</v>
      </c>
      <c r="C9" s="1">
        <v>567148991</v>
      </c>
      <c r="D9" s="1" t="s">
        <v>538</v>
      </c>
      <c r="E9" s="14">
        <v>81005603363</v>
      </c>
      <c r="F9" s="2">
        <f>IFERROR(VLOOKUP(B9,M10B!B:W,22,FALSE),0)</f>
        <v>0</v>
      </c>
      <c r="G9" s="1">
        <f t="shared" si="1"/>
        <v>0</v>
      </c>
      <c r="I9" s="17"/>
      <c r="L9" s="1" t="s">
        <v>1757</v>
      </c>
      <c r="M9" s="2"/>
      <c r="O9" s="2">
        <f>SUM(domestic!F:F)</f>
        <v>0</v>
      </c>
      <c r="P9" s="1" t="b">
        <f t="shared" si="0"/>
        <v>1</v>
      </c>
    </row>
    <row r="10" spans="1:17" x14ac:dyDescent="0.2">
      <c r="A10" s="1" t="s">
        <v>523</v>
      </c>
      <c r="B10" s="2" t="s">
        <v>542</v>
      </c>
      <c r="C10" s="1">
        <v>567148989</v>
      </c>
      <c r="D10" s="1" t="s">
        <v>541</v>
      </c>
      <c r="E10" s="14">
        <v>81005603305</v>
      </c>
      <c r="F10" s="2">
        <f>IFERROR(VLOOKUP(B10,M10B!B:W,22,FALSE),0)</f>
        <v>0</v>
      </c>
      <c r="G10" s="1">
        <f t="shared" si="1"/>
        <v>0</v>
      </c>
      <c r="I10" s="17"/>
      <c r="L10" s="1" t="s">
        <v>1944</v>
      </c>
      <c r="M10" s="2"/>
      <c r="O10" s="2"/>
    </row>
    <row r="11" spans="1:17" x14ac:dyDescent="0.2">
      <c r="A11" s="1" t="s">
        <v>523</v>
      </c>
      <c r="B11" s="2" t="s">
        <v>544</v>
      </c>
      <c r="C11" s="1">
        <v>567149009</v>
      </c>
      <c r="D11" s="1" t="s">
        <v>543</v>
      </c>
      <c r="E11" s="14">
        <v>81005603292</v>
      </c>
      <c r="F11" s="2">
        <f>IFERROR(VLOOKUP(B11,M10B!B:W,22,FALSE),0)</f>
        <v>0</v>
      </c>
      <c r="G11" s="1">
        <f t="shared" si="1"/>
        <v>0</v>
      </c>
      <c r="I11" s="17"/>
      <c r="M11" s="17"/>
      <c r="O11" s="17">
        <f>SUM(O2:O10)</f>
        <v>78918</v>
      </c>
      <c r="P11" s="1">
        <f>SUM(G:G)</f>
        <v>78918</v>
      </c>
      <c r="Q11" s="17">
        <f>P11-O11</f>
        <v>0</v>
      </c>
    </row>
    <row r="12" spans="1:17" x14ac:dyDescent="0.2">
      <c r="A12" s="1" t="s">
        <v>523</v>
      </c>
      <c r="B12" s="2" t="s">
        <v>546</v>
      </c>
      <c r="C12" s="1">
        <v>567148990</v>
      </c>
      <c r="D12" s="1" t="s">
        <v>545</v>
      </c>
      <c r="E12" s="14">
        <v>81005603356</v>
      </c>
      <c r="F12" s="2">
        <f>IFERROR(VLOOKUP(B12,M10B!B:W,22,FALSE),0)</f>
        <v>0</v>
      </c>
      <c r="G12" s="1">
        <f t="shared" si="1"/>
        <v>0</v>
      </c>
      <c r="I12" s="17"/>
    </row>
    <row r="13" spans="1:17" x14ac:dyDescent="0.2">
      <c r="A13" s="1" t="s">
        <v>523</v>
      </c>
      <c r="B13" s="1" t="s">
        <v>548</v>
      </c>
      <c r="C13" s="1">
        <v>567148988</v>
      </c>
      <c r="D13" s="1" t="s">
        <v>547</v>
      </c>
      <c r="E13" s="15">
        <v>81005603319</v>
      </c>
      <c r="F13" s="2">
        <f>IFERROR(VLOOKUP(B13,M10B!B:W,22,FALSE),0)</f>
        <v>0</v>
      </c>
      <c r="G13" s="1">
        <f t="shared" si="1"/>
        <v>0</v>
      </c>
      <c r="I13" s="17"/>
      <c r="P13" s="1">
        <f>P11-O11</f>
        <v>0</v>
      </c>
    </row>
    <row r="14" spans="1:17" x14ac:dyDescent="0.2">
      <c r="A14" s="1" t="s">
        <v>523</v>
      </c>
      <c r="B14" s="2" t="s">
        <v>550</v>
      </c>
      <c r="C14" s="1">
        <v>567149006</v>
      </c>
      <c r="D14" s="1" t="s">
        <v>549</v>
      </c>
      <c r="E14" s="14">
        <v>81005603312</v>
      </c>
      <c r="F14" s="2">
        <f>IFERROR(VLOOKUP(B14,M10B!B:W,22,FALSE),0)</f>
        <v>0</v>
      </c>
      <c r="G14" s="1">
        <f t="shared" si="1"/>
        <v>0</v>
      </c>
      <c r="I14" s="17"/>
    </row>
    <row r="15" spans="1:17" x14ac:dyDescent="0.2">
      <c r="A15" s="1" t="s">
        <v>523</v>
      </c>
      <c r="B15" s="2" t="s">
        <v>552</v>
      </c>
      <c r="C15" s="1">
        <v>567148974</v>
      </c>
      <c r="D15" s="1" t="s">
        <v>551</v>
      </c>
      <c r="E15" s="14">
        <v>81005603298</v>
      </c>
      <c r="F15" s="2">
        <f>IFERROR(VLOOKUP(B15,M10B!B:W,22,FALSE),0)</f>
        <v>0</v>
      </c>
      <c r="G15" s="1">
        <f t="shared" si="1"/>
        <v>0</v>
      </c>
      <c r="I15" s="17"/>
    </row>
    <row r="16" spans="1:17" x14ac:dyDescent="0.2">
      <c r="A16" s="1" t="s">
        <v>523</v>
      </c>
      <c r="B16" s="2" t="s">
        <v>554</v>
      </c>
      <c r="C16" s="1">
        <v>567148993</v>
      </c>
      <c r="D16" s="1" t="s">
        <v>553</v>
      </c>
      <c r="E16" s="14">
        <v>81005603366</v>
      </c>
      <c r="F16" s="2">
        <f>IFERROR(VLOOKUP(B16,M10B!B:W,22,FALSE),0)</f>
        <v>0</v>
      </c>
      <c r="G16" s="1">
        <f t="shared" si="1"/>
        <v>0</v>
      </c>
      <c r="I16" s="17"/>
    </row>
    <row r="17" spans="1:9" x14ac:dyDescent="0.2">
      <c r="A17" s="1" t="s">
        <v>523</v>
      </c>
      <c r="B17" s="2" t="s">
        <v>556</v>
      </c>
      <c r="C17" s="1">
        <v>567149005</v>
      </c>
      <c r="D17" s="1" t="s">
        <v>555</v>
      </c>
      <c r="E17" s="14">
        <v>81005603331</v>
      </c>
      <c r="F17" s="2">
        <f>IFERROR(VLOOKUP(B17,M10B!B:W,22,FALSE),0)</f>
        <v>0</v>
      </c>
      <c r="G17" s="1">
        <f t="shared" si="1"/>
        <v>0</v>
      </c>
      <c r="I17" s="17"/>
    </row>
    <row r="18" spans="1:9" x14ac:dyDescent="0.2">
      <c r="A18" s="1" t="s">
        <v>523</v>
      </c>
      <c r="B18" s="2" t="s">
        <v>558</v>
      </c>
      <c r="C18" s="1">
        <v>567148997</v>
      </c>
      <c r="D18" s="1" t="s">
        <v>557</v>
      </c>
      <c r="E18" s="14">
        <v>81005603287</v>
      </c>
      <c r="F18" s="2">
        <f>IFERROR(VLOOKUP(B18,M10B!B:W,22,FALSE),0)</f>
        <v>0</v>
      </c>
      <c r="G18" s="1">
        <f t="shared" si="1"/>
        <v>0</v>
      </c>
      <c r="I18" s="17"/>
    </row>
    <row r="19" spans="1:9" x14ac:dyDescent="0.2">
      <c r="A19" s="1" t="s">
        <v>523</v>
      </c>
      <c r="B19" s="1" t="s">
        <v>561</v>
      </c>
      <c r="C19" s="1">
        <v>567149000</v>
      </c>
      <c r="D19" s="1" t="s">
        <v>560</v>
      </c>
      <c r="E19" s="15">
        <v>81005603290</v>
      </c>
      <c r="F19" s="2">
        <f>IFERROR(VLOOKUP(B19,M10B!B:W,22,FALSE),0)</f>
        <v>0</v>
      </c>
      <c r="G19" s="1">
        <f t="shared" si="1"/>
        <v>0</v>
      </c>
      <c r="I19" s="17"/>
    </row>
    <row r="20" spans="1:9" x14ac:dyDescent="0.2">
      <c r="A20" s="1" t="s">
        <v>523</v>
      </c>
      <c r="B20" s="2" t="s">
        <v>563</v>
      </c>
      <c r="C20" s="1">
        <v>567148967</v>
      </c>
      <c r="D20" s="1" t="s">
        <v>562</v>
      </c>
      <c r="E20" s="14">
        <v>81005603307</v>
      </c>
      <c r="F20" s="2">
        <f>IFERROR(VLOOKUP(B20,M10B!B:W,22,FALSE),0)</f>
        <v>0</v>
      </c>
      <c r="G20" s="1">
        <f t="shared" si="1"/>
        <v>0</v>
      </c>
      <c r="I20" s="17"/>
    </row>
    <row r="21" spans="1:9" x14ac:dyDescent="0.2">
      <c r="A21" s="1" t="s">
        <v>523</v>
      </c>
      <c r="B21" s="2" t="s">
        <v>565</v>
      </c>
      <c r="C21" s="1">
        <v>567148874</v>
      </c>
      <c r="D21" s="1" t="s">
        <v>564</v>
      </c>
      <c r="E21" s="14">
        <v>81005603368</v>
      </c>
      <c r="F21" s="2">
        <f>IFERROR(VLOOKUP(B21,M10B!B:W,22,FALSE),0)</f>
        <v>0</v>
      </c>
      <c r="G21" s="1">
        <f t="shared" si="1"/>
        <v>0</v>
      </c>
      <c r="I21" s="17"/>
    </row>
    <row r="22" spans="1:9" x14ac:dyDescent="0.2">
      <c r="A22" s="1" t="s">
        <v>523</v>
      </c>
      <c r="B22" s="2" t="s">
        <v>567</v>
      </c>
      <c r="C22" s="1">
        <v>567148879</v>
      </c>
      <c r="D22" s="1" t="s">
        <v>566</v>
      </c>
      <c r="E22" s="14">
        <v>81005603335</v>
      </c>
      <c r="F22" s="2">
        <f>IFERROR(VLOOKUP(B22,M10B!B:W,22,FALSE),0)</f>
        <v>0</v>
      </c>
      <c r="G22" s="1">
        <f t="shared" si="1"/>
        <v>0</v>
      </c>
      <c r="I22" s="17"/>
    </row>
    <row r="23" spans="1:9" x14ac:dyDescent="0.2">
      <c r="A23" s="1" t="s">
        <v>523</v>
      </c>
      <c r="B23" s="2" t="s">
        <v>569</v>
      </c>
      <c r="C23" s="1">
        <v>567148873</v>
      </c>
      <c r="D23" s="1" t="s">
        <v>568</v>
      </c>
      <c r="E23" s="14">
        <v>81005603300</v>
      </c>
      <c r="F23" s="2">
        <f>IFERROR(VLOOKUP(B23,M10B!B:W,22,FALSE),0)</f>
        <v>0</v>
      </c>
      <c r="G23" s="1">
        <f t="shared" si="1"/>
        <v>0</v>
      </c>
      <c r="I23" s="17"/>
    </row>
    <row r="24" spans="1:9" x14ac:dyDescent="0.2">
      <c r="A24" s="1" t="s">
        <v>523</v>
      </c>
      <c r="B24" s="2" t="s">
        <v>571</v>
      </c>
      <c r="C24" s="1">
        <v>567148880</v>
      </c>
      <c r="D24" s="1" t="s">
        <v>570</v>
      </c>
      <c r="E24" s="14">
        <v>81005603340</v>
      </c>
      <c r="F24" s="2">
        <f>IFERROR(VLOOKUP(B24,M10B!B:W,22,FALSE),0)</f>
        <v>0</v>
      </c>
      <c r="G24" s="1">
        <f t="shared" si="1"/>
        <v>0</v>
      </c>
      <c r="I24" s="17"/>
    </row>
    <row r="25" spans="1:9" x14ac:dyDescent="0.2">
      <c r="A25" s="1" t="s">
        <v>523</v>
      </c>
      <c r="B25" s="2" t="s">
        <v>573</v>
      </c>
      <c r="C25" s="1">
        <v>567148820</v>
      </c>
      <c r="D25" s="1" t="s">
        <v>572</v>
      </c>
      <c r="E25" s="14">
        <v>81005603308</v>
      </c>
      <c r="F25" s="2">
        <f>IFERROR(VLOOKUP(B25,M10B!B:W,22,FALSE),0)</f>
        <v>0</v>
      </c>
      <c r="G25" s="1">
        <f t="shared" si="1"/>
        <v>0</v>
      </c>
      <c r="I25" s="17"/>
    </row>
    <row r="26" spans="1:9" x14ac:dyDescent="0.2">
      <c r="A26" s="1" t="s">
        <v>523</v>
      </c>
      <c r="B26" s="1" t="s">
        <v>575</v>
      </c>
      <c r="C26" s="1">
        <v>567148818</v>
      </c>
      <c r="D26" s="1" t="s">
        <v>574</v>
      </c>
      <c r="E26" s="15">
        <v>81005603316</v>
      </c>
      <c r="F26" s="2">
        <f>IFERROR(VLOOKUP(B26,M10B!B:W,22,FALSE),0)</f>
        <v>0</v>
      </c>
      <c r="G26" s="1">
        <f t="shared" si="1"/>
        <v>0</v>
      </c>
      <c r="I26" s="17"/>
    </row>
    <row r="27" spans="1:9" x14ac:dyDescent="0.2">
      <c r="A27" s="1" t="s">
        <v>523</v>
      </c>
      <c r="B27" s="2" t="s">
        <v>577</v>
      </c>
      <c r="C27" s="1">
        <v>567148811</v>
      </c>
      <c r="D27" s="1" t="s">
        <v>576</v>
      </c>
      <c r="E27" s="14">
        <v>81005603372</v>
      </c>
      <c r="F27" s="2">
        <f>IFERROR(VLOOKUP(B27,M10B!B:W,22,FALSE),0)</f>
        <v>0</v>
      </c>
      <c r="G27" s="1">
        <f t="shared" si="1"/>
        <v>0</v>
      </c>
      <c r="I27" s="17"/>
    </row>
    <row r="28" spans="1:9" x14ac:dyDescent="0.2">
      <c r="A28" s="1" t="s">
        <v>523</v>
      </c>
      <c r="B28" s="2" t="s">
        <v>579</v>
      </c>
      <c r="C28" s="1">
        <v>567148837</v>
      </c>
      <c r="D28" s="1" t="s">
        <v>578</v>
      </c>
      <c r="E28" s="14">
        <v>81005603293</v>
      </c>
      <c r="F28" s="2">
        <f>IFERROR(VLOOKUP(B28,M10B!B:W,22,FALSE),0)</f>
        <v>0</v>
      </c>
      <c r="G28" s="1">
        <f t="shared" si="1"/>
        <v>0</v>
      </c>
      <c r="I28" s="17"/>
    </row>
    <row r="29" spans="1:9" x14ac:dyDescent="0.2">
      <c r="A29" s="1" t="s">
        <v>523</v>
      </c>
      <c r="B29" s="2" t="s">
        <v>581</v>
      </c>
      <c r="C29" s="1">
        <v>567148835</v>
      </c>
      <c r="D29" s="1" t="s">
        <v>580</v>
      </c>
      <c r="E29" s="14">
        <v>81005603344</v>
      </c>
      <c r="F29" s="2">
        <f>IFERROR(VLOOKUP(B29,M10B!B:W,22,FALSE),0)</f>
        <v>0</v>
      </c>
      <c r="G29" s="1">
        <f t="shared" si="1"/>
        <v>0</v>
      </c>
      <c r="I29" s="17"/>
    </row>
    <row r="30" spans="1:9" x14ac:dyDescent="0.2">
      <c r="A30" s="1" t="s">
        <v>523</v>
      </c>
      <c r="B30" s="2" t="s">
        <v>583</v>
      </c>
      <c r="C30" s="1">
        <v>567148875</v>
      </c>
      <c r="D30" s="1" t="s">
        <v>582</v>
      </c>
      <c r="E30" s="14">
        <v>81005603294</v>
      </c>
      <c r="F30" s="2">
        <f>IFERROR(VLOOKUP(B30,M10B!B:W,22,FALSE),0)</f>
        <v>0</v>
      </c>
      <c r="G30" s="1">
        <f t="shared" si="1"/>
        <v>0</v>
      </c>
      <c r="I30" s="17"/>
    </row>
    <row r="31" spans="1:9" x14ac:dyDescent="0.2">
      <c r="A31" s="1" t="s">
        <v>523</v>
      </c>
      <c r="B31" s="2" t="s">
        <v>585</v>
      </c>
      <c r="C31" s="1">
        <v>567148891</v>
      </c>
      <c r="D31" s="1" t="s">
        <v>584</v>
      </c>
      <c r="E31" s="14">
        <v>81005603351</v>
      </c>
      <c r="F31" s="2">
        <f>IFERROR(VLOOKUP(B31,M10B!B:W,22,FALSE),0)</f>
        <v>0</v>
      </c>
      <c r="G31" s="1">
        <f t="shared" si="1"/>
        <v>0</v>
      </c>
      <c r="I31" s="17"/>
    </row>
    <row r="32" spans="1:9" x14ac:dyDescent="0.2">
      <c r="A32" s="1" t="s">
        <v>523</v>
      </c>
      <c r="B32" s="2" t="s">
        <v>587</v>
      </c>
      <c r="C32" s="1">
        <v>567148872</v>
      </c>
      <c r="D32" s="1" t="s">
        <v>586</v>
      </c>
      <c r="E32" s="14">
        <v>81005603362</v>
      </c>
      <c r="F32" s="2">
        <f>IFERROR(VLOOKUP(B32,M10B!B:W,22,FALSE),0)</f>
        <v>0</v>
      </c>
      <c r="G32" s="1">
        <f t="shared" si="1"/>
        <v>0</v>
      </c>
      <c r="I32" s="17"/>
    </row>
    <row r="33" spans="1:9" x14ac:dyDescent="0.2">
      <c r="A33" s="1" t="s">
        <v>523</v>
      </c>
      <c r="B33" s="2" t="s">
        <v>589</v>
      </c>
      <c r="C33" s="1">
        <v>567148860</v>
      </c>
      <c r="D33" s="1" t="s">
        <v>588</v>
      </c>
      <c r="E33" s="14">
        <v>81005603325</v>
      </c>
      <c r="F33" s="2">
        <f>IFERROR(VLOOKUP(B33,M10B!B:W,22,FALSE),0)</f>
        <v>0</v>
      </c>
      <c r="G33" s="1">
        <f t="shared" si="1"/>
        <v>0</v>
      </c>
      <c r="I33" s="17"/>
    </row>
    <row r="34" spans="1:9" x14ac:dyDescent="0.2">
      <c r="A34" s="1" t="s">
        <v>523</v>
      </c>
      <c r="B34" s="2" t="s">
        <v>591</v>
      </c>
      <c r="C34" s="1">
        <v>567148865</v>
      </c>
      <c r="D34" s="1" t="s">
        <v>590</v>
      </c>
      <c r="E34" s="14">
        <v>81005603321</v>
      </c>
      <c r="F34" s="2">
        <f>IFERROR(VLOOKUP(B34,M10B!B:W,22,FALSE),0)</f>
        <v>0</v>
      </c>
      <c r="G34" s="1">
        <f t="shared" si="1"/>
        <v>0</v>
      </c>
      <c r="I34" s="17"/>
    </row>
    <row r="35" spans="1:9" x14ac:dyDescent="0.2">
      <c r="A35" s="1" t="s">
        <v>523</v>
      </c>
      <c r="B35" s="2" t="s">
        <v>593</v>
      </c>
      <c r="C35" s="1">
        <v>567148890</v>
      </c>
      <c r="D35" s="1" t="s">
        <v>592</v>
      </c>
      <c r="E35" s="14">
        <v>81005603301</v>
      </c>
      <c r="F35" s="2">
        <f>IFERROR(VLOOKUP(B35,M10B!B:W,22,FALSE),0)</f>
        <v>0</v>
      </c>
      <c r="G35" s="1">
        <f t="shared" si="1"/>
        <v>0</v>
      </c>
      <c r="I35" s="17"/>
    </row>
    <row r="36" spans="1:9" x14ac:dyDescent="0.2">
      <c r="A36" s="1" t="s">
        <v>523</v>
      </c>
      <c r="B36" s="2" t="s">
        <v>600</v>
      </c>
      <c r="C36" s="1">
        <v>567240458</v>
      </c>
      <c r="D36" s="1" t="s">
        <v>599</v>
      </c>
      <c r="E36" s="14">
        <v>81005603637</v>
      </c>
      <c r="F36" s="2">
        <f>IFERROR(VLOOKUP(B36,M10B!B:W,22,FALSE),0)</f>
        <v>0</v>
      </c>
      <c r="G36" s="1">
        <f t="shared" si="1"/>
        <v>0</v>
      </c>
      <c r="I36" s="17"/>
    </row>
    <row r="37" spans="1:9" x14ac:dyDescent="0.2">
      <c r="A37" s="1" t="s">
        <v>523</v>
      </c>
      <c r="B37" s="2" t="s">
        <v>602</v>
      </c>
      <c r="C37" s="1">
        <v>567240466</v>
      </c>
      <c r="D37" s="1" t="s">
        <v>601</v>
      </c>
      <c r="E37" s="14">
        <v>81005603638</v>
      </c>
      <c r="F37" s="2">
        <f>IFERROR(VLOOKUP(B37,M10B!B:W,22,FALSE),0)</f>
        <v>0</v>
      </c>
      <c r="G37" s="1">
        <f t="shared" si="1"/>
        <v>0</v>
      </c>
      <c r="I37" s="17"/>
    </row>
    <row r="38" spans="1:9" x14ac:dyDescent="0.2">
      <c r="A38" s="1" t="s">
        <v>523</v>
      </c>
      <c r="B38" s="2" t="s">
        <v>604</v>
      </c>
      <c r="C38" s="1">
        <v>567240469</v>
      </c>
      <c r="D38" s="1" t="s">
        <v>603</v>
      </c>
      <c r="E38" s="14">
        <v>81005603642</v>
      </c>
      <c r="F38" s="2">
        <f>IFERROR(VLOOKUP(B38,M10B!B:W,22,FALSE),0)</f>
        <v>0</v>
      </c>
      <c r="G38" s="1">
        <f t="shared" si="1"/>
        <v>0</v>
      </c>
      <c r="I38" s="17"/>
    </row>
    <row r="39" spans="1:9" x14ac:dyDescent="0.2">
      <c r="A39" s="1" t="s">
        <v>523</v>
      </c>
      <c r="B39" s="2" t="s">
        <v>761</v>
      </c>
      <c r="C39" s="1">
        <v>569042305</v>
      </c>
      <c r="D39" s="1" t="s">
        <v>762</v>
      </c>
      <c r="E39" s="14">
        <v>81005603805</v>
      </c>
      <c r="F39" s="2">
        <f>IFERROR(VLOOKUP(B39,M10B!B:W,22,FALSE),0)</f>
        <v>0</v>
      </c>
      <c r="G39" s="1">
        <f t="shared" ref="G39:G73" si="2">CEILING(F39,126)</f>
        <v>0</v>
      </c>
      <c r="I39" s="17"/>
    </row>
    <row r="40" spans="1:9" x14ac:dyDescent="0.2">
      <c r="A40" s="1" t="s">
        <v>523</v>
      </c>
      <c r="B40" s="2" t="s">
        <v>721</v>
      </c>
      <c r="C40" s="1">
        <v>569042317</v>
      </c>
      <c r="D40" s="1" t="s">
        <v>722</v>
      </c>
      <c r="E40" s="14">
        <v>81005603687</v>
      </c>
      <c r="F40" s="2">
        <f>IFERROR(VLOOKUP(B40,M10B!B:W,22,FALSE),0)</f>
        <v>0</v>
      </c>
      <c r="G40" s="1">
        <f t="shared" si="2"/>
        <v>0</v>
      </c>
      <c r="I40" s="17"/>
    </row>
    <row r="41" spans="1:9" x14ac:dyDescent="0.2">
      <c r="A41" s="1" t="s">
        <v>523</v>
      </c>
      <c r="B41" s="2" t="s">
        <v>719</v>
      </c>
      <c r="C41" s="1">
        <v>569033501</v>
      </c>
      <c r="D41" s="1" t="s">
        <v>720</v>
      </c>
      <c r="E41" s="14">
        <v>81005603816</v>
      </c>
      <c r="F41" s="2">
        <f>IFERROR(VLOOKUP(B41,M10B!B:W,22,FALSE),0)</f>
        <v>0</v>
      </c>
      <c r="G41" s="1">
        <f t="shared" si="2"/>
        <v>0</v>
      </c>
      <c r="I41" s="17"/>
    </row>
    <row r="42" spans="1:9" x14ac:dyDescent="0.2">
      <c r="A42" s="1" t="s">
        <v>523</v>
      </c>
      <c r="B42" s="2" t="s">
        <v>717</v>
      </c>
      <c r="C42" s="1">
        <v>569033509</v>
      </c>
      <c r="D42" s="1" t="s">
        <v>718</v>
      </c>
      <c r="E42" s="14">
        <v>81005603803</v>
      </c>
      <c r="F42" s="2">
        <f>IFERROR(VLOOKUP(B42,M10B!B:W,22,FALSE),0)</f>
        <v>0</v>
      </c>
      <c r="G42" s="1">
        <f t="shared" si="2"/>
        <v>0</v>
      </c>
      <c r="I42" s="17"/>
    </row>
    <row r="43" spans="1:9" x14ac:dyDescent="0.2">
      <c r="A43" s="1" t="s">
        <v>523</v>
      </c>
      <c r="B43" s="2" t="s">
        <v>759</v>
      </c>
      <c r="C43" s="1">
        <v>569042303</v>
      </c>
      <c r="D43" s="1" t="s">
        <v>760</v>
      </c>
      <c r="E43" s="14">
        <v>81005603690</v>
      </c>
      <c r="F43" s="2">
        <f>IFERROR(VLOOKUP(B43,M10B!B:W,22,FALSE),0)</f>
        <v>0</v>
      </c>
      <c r="G43" s="1">
        <f t="shared" si="2"/>
        <v>0</v>
      </c>
      <c r="I43" s="17"/>
    </row>
    <row r="44" spans="1:9" x14ac:dyDescent="0.2">
      <c r="A44" s="1" t="s">
        <v>523</v>
      </c>
      <c r="B44" s="2" t="s">
        <v>756</v>
      </c>
      <c r="C44" s="1">
        <v>569033513</v>
      </c>
      <c r="D44" s="1" t="s">
        <v>757</v>
      </c>
      <c r="E44" s="14">
        <v>81005603695</v>
      </c>
      <c r="F44" s="2">
        <f>IFERROR(VLOOKUP(B44,M10B!B:W,22,FALSE),0)</f>
        <v>0</v>
      </c>
      <c r="G44" s="1">
        <f t="shared" si="2"/>
        <v>0</v>
      </c>
      <c r="I44" s="17"/>
    </row>
    <row r="45" spans="1:9" x14ac:dyDescent="0.2">
      <c r="A45" s="1" t="s">
        <v>523</v>
      </c>
      <c r="B45" s="2" t="s">
        <v>753</v>
      </c>
      <c r="C45" s="1">
        <v>569033508</v>
      </c>
      <c r="D45" s="1" t="s">
        <v>754</v>
      </c>
      <c r="E45" s="14">
        <v>81005603693</v>
      </c>
      <c r="F45" s="2">
        <f>IFERROR(VLOOKUP(B45,M10B!B:W,22,FALSE),0)</f>
        <v>0</v>
      </c>
      <c r="G45" s="1">
        <f t="shared" si="2"/>
        <v>0</v>
      </c>
      <c r="I45" s="17"/>
    </row>
    <row r="46" spans="1:9" x14ac:dyDescent="0.2">
      <c r="A46" s="1" t="s">
        <v>523</v>
      </c>
      <c r="B46" s="2" t="s">
        <v>715</v>
      </c>
      <c r="C46" s="1">
        <v>569042327</v>
      </c>
      <c r="D46" s="1" t="s">
        <v>716</v>
      </c>
      <c r="E46" s="14">
        <v>81005603692</v>
      </c>
      <c r="F46" s="2">
        <f>IFERROR(VLOOKUP(B46,M10B!B:W,22,FALSE),0)</f>
        <v>0</v>
      </c>
      <c r="G46" s="1">
        <f t="shared" si="2"/>
        <v>0</v>
      </c>
      <c r="I46" s="17"/>
    </row>
    <row r="47" spans="1:9" x14ac:dyDescent="0.2">
      <c r="A47" s="1" t="s">
        <v>523</v>
      </c>
      <c r="B47" s="2" t="s">
        <v>712</v>
      </c>
      <c r="C47" s="1">
        <v>569042315</v>
      </c>
      <c r="D47" s="1" t="s">
        <v>713</v>
      </c>
      <c r="E47" s="14">
        <v>81005603691</v>
      </c>
      <c r="F47" s="2">
        <f>IFERROR(VLOOKUP(B47,M10B!B:W,22,FALSE),0)</f>
        <v>0</v>
      </c>
      <c r="G47" s="1">
        <f t="shared" si="2"/>
        <v>0</v>
      </c>
      <c r="I47" s="17"/>
    </row>
    <row r="48" spans="1:9" x14ac:dyDescent="0.2">
      <c r="A48" s="1" t="s">
        <v>523</v>
      </c>
      <c r="B48" s="2" t="s">
        <v>710</v>
      </c>
      <c r="C48" s="1">
        <v>569042324</v>
      </c>
      <c r="D48" s="1" t="s">
        <v>711</v>
      </c>
      <c r="E48" s="14">
        <v>81005603715</v>
      </c>
      <c r="F48" s="2">
        <f>IFERROR(VLOOKUP(B48,M10B!B:W,22,FALSE),0)</f>
        <v>0</v>
      </c>
      <c r="G48" s="1">
        <f t="shared" si="2"/>
        <v>0</v>
      </c>
      <c r="I48" s="17"/>
    </row>
    <row r="49" spans="1:9" x14ac:dyDescent="0.2">
      <c r="A49" s="1" t="s">
        <v>523</v>
      </c>
      <c r="B49" s="2" t="s">
        <v>751</v>
      </c>
      <c r="C49" s="1">
        <v>569033512</v>
      </c>
      <c r="D49" s="1" t="s">
        <v>752</v>
      </c>
      <c r="E49" s="14">
        <v>81005603713</v>
      </c>
      <c r="F49" s="2">
        <f>IFERROR(VLOOKUP(B49,M10B!B:W,22,FALSE),0)</f>
        <v>0</v>
      </c>
      <c r="G49" s="1">
        <f t="shared" si="2"/>
        <v>0</v>
      </c>
      <c r="I49" s="17"/>
    </row>
    <row r="50" spans="1:9" x14ac:dyDescent="0.2">
      <c r="A50" s="1" t="s">
        <v>523</v>
      </c>
      <c r="B50" s="2" t="s">
        <v>749</v>
      </c>
      <c r="C50" s="1">
        <v>569023450</v>
      </c>
      <c r="D50" s="1" t="s">
        <v>750</v>
      </c>
      <c r="E50" s="14">
        <v>81005603712</v>
      </c>
      <c r="F50" s="2">
        <f>IFERROR(VLOOKUP(B50,M10B!B:W,22,FALSE),0)</f>
        <v>0</v>
      </c>
      <c r="G50" s="1">
        <f t="shared" si="2"/>
        <v>0</v>
      </c>
      <c r="I50" s="17"/>
    </row>
    <row r="51" spans="1:9" x14ac:dyDescent="0.2">
      <c r="A51" s="1" t="s">
        <v>523</v>
      </c>
      <c r="B51" s="2" t="s">
        <v>708</v>
      </c>
      <c r="C51" s="1">
        <v>569042329</v>
      </c>
      <c r="D51" s="1" t="s">
        <v>709</v>
      </c>
      <c r="E51" s="14">
        <v>81005603802</v>
      </c>
      <c r="F51" s="2">
        <f>IFERROR(VLOOKUP(B51,M10B!B:W,22,FALSE),0)</f>
        <v>0</v>
      </c>
      <c r="G51" s="1">
        <f t="shared" si="2"/>
        <v>0</v>
      </c>
      <c r="I51" s="17"/>
    </row>
    <row r="52" spans="1:9" x14ac:dyDescent="0.2">
      <c r="A52" s="1" t="s">
        <v>523</v>
      </c>
      <c r="B52" s="2" t="s">
        <v>747</v>
      </c>
      <c r="C52" s="1">
        <v>569023440</v>
      </c>
      <c r="D52" s="1" t="s">
        <v>748</v>
      </c>
      <c r="E52" s="14">
        <v>81005603807</v>
      </c>
      <c r="F52" s="2">
        <f>IFERROR(VLOOKUP(B52,M10B!B:W,22,FALSE),0)</f>
        <v>0</v>
      </c>
      <c r="G52" s="1">
        <f t="shared" si="2"/>
        <v>0</v>
      </c>
      <c r="I52" s="17"/>
    </row>
    <row r="53" spans="1:9" x14ac:dyDescent="0.2">
      <c r="A53" s="1" t="s">
        <v>523</v>
      </c>
      <c r="B53" s="2" t="s">
        <v>725</v>
      </c>
      <c r="C53" s="1">
        <v>569042321</v>
      </c>
      <c r="D53" s="1" t="s">
        <v>726</v>
      </c>
      <c r="E53" s="14">
        <v>81005603677</v>
      </c>
      <c r="F53" s="2">
        <f>IFERROR(VLOOKUP(B53,M10B!B:W,22,FALSE),0)</f>
        <v>0</v>
      </c>
      <c r="G53" s="1">
        <f t="shared" si="2"/>
        <v>0</v>
      </c>
      <c r="I53" s="17"/>
    </row>
    <row r="54" spans="1:9" x14ac:dyDescent="0.2">
      <c r="A54" s="1" t="s">
        <v>523</v>
      </c>
      <c r="B54" s="2" t="s">
        <v>723</v>
      </c>
      <c r="C54" s="1">
        <v>569033503</v>
      </c>
      <c r="D54" s="1" t="s">
        <v>724</v>
      </c>
      <c r="E54" s="14">
        <v>81005603703</v>
      </c>
      <c r="F54" s="2">
        <f>IFERROR(VLOOKUP(B54,M10B!B:W,22,FALSE),0)</f>
        <v>0</v>
      </c>
      <c r="G54" s="1">
        <f t="shared" si="2"/>
        <v>0</v>
      </c>
      <c r="I54" s="17"/>
    </row>
    <row r="55" spans="1:9" x14ac:dyDescent="0.2">
      <c r="A55" s="1" t="s">
        <v>523</v>
      </c>
      <c r="B55" s="2" t="s">
        <v>706</v>
      </c>
      <c r="C55" s="1">
        <v>569023447</v>
      </c>
      <c r="D55" s="1" t="s">
        <v>707</v>
      </c>
      <c r="E55" s="14">
        <v>81005603812</v>
      </c>
      <c r="F55" s="2">
        <f>IFERROR(VLOOKUP(B55,M10B!B:W,22,FALSE),0)</f>
        <v>0</v>
      </c>
      <c r="G55" s="1">
        <f t="shared" si="2"/>
        <v>0</v>
      </c>
      <c r="I55" s="17"/>
    </row>
    <row r="56" spans="1:9" x14ac:dyDescent="0.2">
      <c r="A56" s="1" t="s">
        <v>523</v>
      </c>
      <c r="B56" s="2" t="s">
        <v>704</v>
      </c>
      <c r="C56" s="1">
        <v>569042316</v>
      </c>
      <c r="D56" s="1" t="s">
        <v>705</v>
      </c>
      <c r="E56" s="14">
        <v>81005603674</v>
      </c>
      <c r="F56" s="2">
        <f>IFERROR(VLOOKUP(B56,M10B!B:W,22,FALSE),0)</f>
        <v>0</v>
      </c>
      <c r="G56" s="1">
        <f t="shared" si="2"/>
        <v>0</v>
      </c>
      <c r="I56" s="17"/>
    </row>
    <row r="57" spans="1:9" x14ac:dyDescent="0.2">
      <c r="A57" s="1" t="s">
        <v>523</v>
      </c>
      <c r="B57" s="2" t="s">
        <v>702</v>
      </c>
      <c r="C57" s="1">
        <v>569023448</v>
      </c>
      <c r="D57" s="1" t="s">
        <v>703</v>
      </c>
      <c r="E57" s="14">
        <v>81005603686</v>
      </c>
      <c r="F57" s="2">
        <f>IFERROR(VLOOKUP(B57,M10B!B:W,22,FALSE),0)</f>
        <v>0</v>
      </c>
      <c r="G57" s="1">
        <f t="shared" si="2"/>
        <v>0</v>
      </c>
      <c r="I57" s="17"/>
    </row>
    <row r="58" spans="1:9" x14ac:dyDescent="0.2">
      <c r="A58" s="1" t="s">
        <v>523</v>
      </c>
      <c r="B58" s="2" t="s">
        <v>745</v>
      </c>
      <c r="C58" s="1">
        <v>569042325</v>
      </c>
      <c r="D58" s="1" t="s">
        <v>746</v>
      </c>
      <c r="E58" s="14">
        <v>81005603678</v>
      </c>
      <c r="F58" s="2">
        <f>IFERROR(VLOOKUP(B58,M10B!B:W,22,FALSE),0)</f>
        <v>0</v>
      </c>
      <c r="G58" s="1">
        <f t="shared" si="2"/>
        <v>0</v>
      </c>
      <c r="I58" s="17"/>
    </row>
    <row r="59" spans="1:9" x14ac:dyDescent="0.2">
      <c r="A59" s="1" t="s">
        <v>523</v>
      </c>
      <c r="B59" s="2" t="s">
        <v>743</v>
      </c>
      <c r="C59" s="1">
        <v>569033510</v>
      </c>
      <c r="D59" s="1" t="s">
        <v>744</v>
      </c>
      <c r="E59" s="14">
        <v>81005603681</v>
      </c>
      <c r="F59" s="2">
        <f>IFERROR(VLOOKUP(B59,M10B!B:W,22,FALSE),0)</f>
        <v>0</v>
      </c>
      <c r="G59" s="1">
        <f t="shared" si="2"/>
        <v>0</v>
      </c>
      <c r="I59" s="17"/>
    </row>
    <row r="60" spans="1:9" x14ac:dyDescent="0.2">
      <c r="A60" s="1" t="s">
        <v>523</v>
      </c>
      <c r="B60" s="2" t="s">
        <v>741</v>
      </c>
      <c r="C60" s="1">
        <v>569033514</v>
      </c>
      <c r="D60" s="1" t="s">
        <v>742</v>
      </c>
      <c r="E60" s="14">
        <v>81005603680</v>
      </c>
      <c r="F60" s="2">
        <f>IFERROR(VLOOKUP(B60,M10B!B:W,22,FALSE),0)</f>
        <v>0</v>
      </c>
      <c r="G60" s="1">
        <f t="shared" si="2"/>
        <v>0</v>
      </c>
      <c r="I60" s="17"/>
    </row>
    <row r="61" spans="1:9" x14ac:dyDescent="0.2">
      <c r="A61" s="1" t="s">
        <v>523</v>
      </c>
      <c r="B61" s="2" t="s">
        <v>700</v>
      </c>
      <c r="C61" s="1">
        <v>569042330</v>
      </c>
      <c r="D61" s="1" t="s">
        <v>701</v>
      </c>
      <c r="E61" s="14">
        <v>81005603710</v>
      </c>
      <c r="F61" s="2">
        <f>IFERROR(VLOOKUP(B61,M10B!B:W,22,FALSE),0)</f>
        <v>0</v>
      </c>
      <c r="G61" s="1">
        <f t="shared" si="2"/>
        <v>0</v>
      </c>
      <c r="I61" s="17"/>
    </row>
    <row r="62" spans="1:9" x14ac:dyDescent="0.2">
      <c r="A62" s="1" t="s">
        <v>523</v>
      </c>
      <c r="B62" s="2" t="s">
        <v>697</v>
      </c>
      <c r="C62" s="1">
        <v>569033511</v>
      </c>
      <c r="D62" s="1" t="s">
        <v>698</v>
      </c>
      <c r="E62" s="14">
        <v>81005603813</v>
      </c>
      <c r="F62" s="2">
        <f>IFERROR(VLOOKUP(B62,M10B!B:W,22,FALSE),0)</f>
        <v>0</v>
      </c>
      <c r="G62" s="1">
        <f t="shared" si="2"/>
        <v>0</v>
      </c>
      <c r="I62" s="17"/>
    </row>
    <row r="63" spans="1:9" x14ac:dyDescent="0.2">
      <c r="A63" s="1" t="s">
        <v>523</v>
      </c>
      <c r="B63" s="2" t="s">
        <v>695</v>
      </c>
      <c r="C63" s="1">
        <v>569042304</v>
      </c>
      <c r="D63" s="1" t="s">
        <v>696</v>
      </c>
      <c r="E63" s="14">
        <v>81005603806</v>
      </c>
      <c r="F63" s="2">
        <f>IFERROR(VLOOKUP(B63,M10B!B:W,22,FALSE),0)</f>
        <v>0</v>
      </c>
      <c r="G63" s="1">
        <f t="shared" si="2"/>
        <v>0</v>
      </c>
      <c r="I63" s="17"/>
    </row>
    <row r="64" spans="1:9" x14ac:dyDescent="0.2">
      <c r="A64" s="1" t="s">
        <v>523</v>
      </c>
      <c r="B64" s="2" t="s">
        <v>693</v>
      </c>
      <c r="C64" s="1">
        <v>569042318</v>
      </c>
      <c r="D64" s="1" t="s">
        <v>694</v>
      </c>
      <c r="E64" s="14">
        <v>81005603801</v>
      </c>
      <c r="F64" s="2">
        <f>IFERROR(VLOOKUP(B64,M10B!B:W,22,FALSE),0)</f>
        <v>0</v>
      </c>
      <c r="G64" s="1">
        <f t="shared" si="2"/>
        <v>0</v>
      </c>
      <c r="I64" s="17"/>
    </row>
    <row r="65" spans="1:9" x14ac:dyDescent="0.2">
      <c r="A65" s="1" t="s">
        <v>523</v>
      </c>
      <c r="B65" s="2" t="s">
        <v>739</v>
      </c>
      <c r="C65" s="1">
        <v>569033502</v>
      </c>
      <c r="D65" s="1" t="s">
        <v>740</v>
      </c>
      <c r="E65" s="14">
        <v>81005603676</v>
      </c>
      <c r="F65" s="2">
        <f>IFERROR(VLOOKUP(B65,M10B!B:W,22,FALSE),0)</f>
        <v>0</v>
      </c>
      <c r="G65" s="1">
        <f t="shared" si="2"/>
        <v>0</v>
      </c>
      <c r="I65" s="17"/>
    </row>
    <row r="66" spans="1:9" x14ac:dyDescent="0.2">
      <c r="A66" s="1" t="s">
        <v>523</v>
      </c>
      <c r="B66" s="2" t="s">
        <v>737</v>
      </c>
      <c r="C66" s="1">
        <v>569033507</v>
      </c>
      <c r="D66" s="1" t="s">
        <v>738</v>
      </c>
      <c r="E66" s="14">
        <v>81005603671</v>
      </c>
      <c r="F66" s="2">
        <f>IFERROR(VLOOKUP(B66,M10B!B:W,22,FALSE),0)</f>
        <v>0</v>
      </c>
      <c r="G66" s="1">
        <f t="shared" si="2"/>
        <v>0</v>
      </c>
      <c r="I66" s="17"/>
    </row>
    <row r="67" spans="1:9" x14ac:dyDescent="0.2">
      <c r="A67" s="1" t="s">
        <v>523</v>
      </c>
      <c r="B67" s="2" t="s">
        <v>735</v>
      </c>
      <c r="C67" s="1">
        <v>569042300</v>
      </c>
      <c r="D67" s="1" t="s">
        <v>736</v>
      </c>
      <c r="E67" s="14">
        <v>81005603683</v>
      </c>
      <c r="F67" s="2">
        <f>IFERROR(VLOOKUP(B67,M10B!B:W,22,FALSE),0)</f>
        <v>0</v>
      </c>
      <c r="G67" s="1">
        <f t="shared" si="2"/>
        <v>0</v>
      </c>
      <c r="I67" s="17"/>
    </row>
    <row r="68" spans="1:9" x14ac:dyDescent="0.2">
      <c r="A68" s="1" t="s">
        <v>523</v>
      </c>
      <c r="B68" s="2" t="s">
        <v>733</v>
      </c>
      <c r="C68" s="1">
        <v>569042301</v>
      </c>
      <c r="D68" s="1" t="s">
        <v>734</v>
      </c>
      <c r="E68" s="14">
        <v>81005603711</v>
      </c>
      <c r="F68" s="2">
        <f>IFERROR(VLOOKUP(B68,M10B!B:W,22,FALSE),0)</f>
        <v>0</v>
      </c>
      <c r="G68" s="1">
        <f t="shared" si="2"/>
        <v>0</v>
      </c>
      <c r="I68" s="17"/>
    </row>
    <row r="69" spans="1:9" x14ac:dyDescent="0.2">
      <c r="A69" s="1" t="s">
        <v>523</v>
      </c>
      <c r="B69" s="2" t="s">
        <v>731</v>
      </c>
      <c r="C69" s="1">
        <v>569033506</v>
      </c>
      <c r="D69" s="1" t="s">
        <v>732</v>
      </c>
      <c r="E69" s="14">
        <v>81005603682</v>
      </c>
      <c r="F69" s="2">
        <f>IFERROR(VLOOKUP(B69,M10B!B:W,22,FALSE),0)</f>
        <v>0</v>
      </c>
      <c r="G69" s="1">
        <f t="shared" si="2"/>
        <v>0</v>
      </c>
      <c r="I69" s="17"/>
    </row>
    <row r="70" spans="1:9" x14ac:dyDescent="0.2">
      <c r="A70" s="1" t="s">
        <v>523</v>
      </c>
      <c r="B70" s="2" t="s">
        <v>691</v>
      </c>
      <c r="C70" s="1">
        <v>569023442</v>
      </c>
      <c r="D70" s="1" t="s">
        <v>692</v>
      </c>
      <c r="E70" s="14">
        <v>81005603808</v>
      </c>
      <c r="F70" s="2">
        <f>IFERROR(VLOOKUP(B70,M10B!B:W,22,FALSE),0)</f>
        <v>0</v>
      </c>
      <c r="G70" s="1">
        <f t="shared" si="2"/>
        <v>0</v>
      </c>
      <c r="I70" s="17"/>
    </row>
    <row r="71" spans="1:9" x14ac:dyDescent="0.2">
      <c r="A71" s="1" t="s">
        <v>523</v>
      </c>
      <c r="B71" s="2" t="s">
        <v>689</v>
      </c>
      <c r="C71" s="1">
        <v>569042298</v>
      </c>
      <c r="D71" s="1" t="s">
        <v>690</v>
      </c>
      <c r="E71" s="14">
        <v>81005603673</v>
      </c>
      <c r="F71" s="2">
        <f>IFERROR(VLOOKUP(B71,M10B!B:W,22,FALSE),0)</f>
        <v>0</v>
      </c>
      <c r="G71" s="1">
        <f t="shared" si="2"/>
        <v>0</v>
      </c>
      <c r="I71" s="17"/>
    </row>
    <row r="72" spans="1:9" x14ac:dyDescent="0.2">
      <c r="A72" s="1" t="s">
        <v>523</v>
      </c>
      <c r="B72" s="2" t="s">
        <v>729</v>
      </c>
      <c r="C72" s="1">
        <v>569023443</v>
      </c>
      <c r="D72" s="1" t="s">
        <v>730</v>
      </c>
      <c r="E72" s="14">
        <v>81005603800</v>
      </c>
      <c r="F72" s="2">
        <f>IFERROR(VLOOKUP(B72,M10B!B:W,22,FALSE),0)</f>
        <v>0</v>
      </c>
      <c r="G72" s="1">
        <f t="shared" si="2"/>
        <v>0</v>
      </c>
      <c r="I72" s="17"/>
    </row>
    <row r="73" spans="1:9" x14ac:dyDescent="0.2">
      <c r="A73" s="1" t="s">
        <v>523</v>
      </c>
      <c r="B73" s="2" t="s">
        <v>727</v>
      </c>
      <c r="C73" s="1">
        <v>569023437</v>
      </c>
      <c r="D73" s="1" t="s">
        <v>728</v>
      </c>
      <c r="E73" s="14">
        <v>81005603799</v>
      </c>
      <c r="F73" s="2">
        <f>IFERROR(VLOOKUP(B73,M10B!B:W,22,FALSE),0)</f>
        <v>0</v>
      </c>
      <c r="G73" s="1">
        <f t="shared" si="2"/>
        <v>0</v>
      </c>
      <c r="I73" s="17"/>
    </row>
    <row r="74" spans="1:9" x14ac:dyDescent="0.2">
      <c r="A74" s="1" t="s">
        <v>645</v>
      </c>
      <c r="B74" s="2" t="s">
        <v>686</v>
      </c>
      <c r="C74" s="1">
        <v>569023445</v>
      </c>
      <c r="D74" s="1" t="s">
        <v>687</v>
      </c>
      <c r="E74" s="14">
        <v>81005603831</v>
      </c>
      <c r="F74" s="2">
        <f>IFERROR(VLOOKUP(B74,M10B!B:W,22,FALSE),0)</f>
        <v>0</v>
      </c>
      <c r="G74" s="1">
        <f t="shared" ref="G74:G94" si="3">CEILING(F74,120)</f>
        <v>0</v>
      </c>
      <c r="I74" s="17"/>
    </row>
    <row r="75" spans="1:9" x14ac:dyDescent="0.2">
      <c r="A75" s="1" t="s">
        <v>645</v>
      </c>
      <c r="B75" s="2" t="s">
        <v>684</v>
      </c>
      <c r="C75" s="1">
        <v>569042299</v>
      </c>
      <c r="D75" s="1" t="s">
        <v>685</v>
      </c>
      <c r="E75" s="14">
        <v>81005603854</v>
      </c>
      <c r="F75" s="2">
        <f>IFERROR(VLOOKUP(B75,M10B!B:W,22,FALSE),0)</f>
        <v>0</v>
      </c>
      <c r="G75" s="1">
        <f t="shared" si="3"/>
        <v>0</v>
      </c>
      <c r="I75" s="17"/>
    </row>
    <row r="76" spans="1:9" x14ac:dyDescent="0.2">
      <c r="A76" s="1" t="s">
        <v>645</v>
      </c>
      <c r="B76" s="2" t="s">
        <v>682</v>
      </c>
      <c r="C76" s="1">
        <v>569033440</v>
      </c>
      <c r="D76" s="1" t="s">
        <v>683</v>
      </c>
      <c r="E76" s="14">
        <v>81005603852</v>
      </c>
      <c r="F76" s="2">
        <f>IFERROR(VLOOKUP(B76,M10B!B:W,22,FALSE),0)</f>
        <v>0</v>
      </c>
      <c r="G76" s="1">
        <f t="shared" si="3"/>
        <v>0</v>
      </c>
      <c r="I76" s="17"/>
    </row>
    <row r="77" spans="1:9" x14ac:dyDescent="0.2">
      <c r="A77" s="1" t="s">
        <v>645</v>
      </c>
      <c r="B77" s="2" t="s">
        <v>680</v>
      </c>
      <c r="C77" s="1">
        <v>569042287</v>
      </c>
      <c r="D77" s="1" t="s">
        <v>681</v>
      </c>
      <c r="E77" s="14">
        <v>81005603853</v>
      </c>
      <c r="F77" s="2">
        <f>IFERROR(VLOOKUP(B77,M10B!B:W,22,FALSE),0)</f>
        <v>0</v>
      </c>
      <c r="G77" s="1">
        <f t="shared" si="3"/>
        <v>0</v>
      </c>
      <c r="I77" s="17"/>
    </row>
    <row r="78" spans="1:9" x14ac:dyDescent="0.2">
      <c r="A78" s="1" t="s">
        <v>645</v>
      </c>
      <c r="B78" s="2" t="s">
        <v>664</v>
      </c>
      <c r="C78" s="1">
        <v>569042311</v>
      </c>
      <c r="D78" s="1" t="s">
        <v>665</v>
      </c>
      <c r="E78" s="14">
        <v>81005603172</v>
      </c>
      <c r="F78" s="2">
        <f>IFERROR(VLOOKUP(B78,M10B!B:W,22,FALSE),0)</f>
        <v>0</v>
      </c>
      <c r="G78" s="1">
        <f t="shared" si="3"/>
        <v>0</v>
      </c>
      <c r="I78" s="17"/>
    </row>
    <row r="79" spans="1:9" x14ac:dyDescent="0.2">
      <c r="A79" s="1" t="s">
        <v>645</v>
      </c>
      <c r="B79" s="2" t="s">
        <v>678</v>
      </c>
      <c r="C79" s="1">
        <v>569033178</v>
      </c>
      <c r="D79" s="1" t="s">
        <v>679</v>
      </c>
      <c r="E79" s="14">
        <v>81005603860</v>
      </c>
      <c r="F79" s="2">
        <f>IFERROR(VLOOKUP(B79,M10B!B:W,22,FALSE),0)</f>
        <v>0</v>
      </c>
      <c r="G79" s="1">
        <f t="shared" si="3"/>
        <v>0</v>
      </c>
      <c r="I79" s="17"/>
    </row>
    <row r="80" spans="1:9" x14ac:dyDescent="0.2">
      <c r="A80" s="1" t="s">
        <v>645</v>
      </c>
      <c r="B80" s="2" t="s">
        <v>676</v>
      </c>
      <c r="C80" s="1">
        <v>569042289</v>
      </c>
      <c r="D80" s="1" t="s">
        <v>677</v>
      </c>
      <c r="E80" s="14">
        <v>81005603837</v>
      </c>
      <c r="F80" s="2">
        <f>IFERROR(VLOOKUP(B80,M10B!B:W,22,FALSE),0)</f>
        <v>0</v>
      </c>
      <c r="G80" s="1">
        <f t="shared" si="3"/>
        <v>0</v>
      </c>
      <c r="I80" s="17"/>
    </row>
    <row r="81" spans="1:9" x14ac:dyDescent="0.2">
      <c r="A81" s="1" t="s">
        <v>645</v>
      </c>
      <c r="B81" s="2" t="s">
        <v>674</v>
      </c>
      <c r="C81" s="1">
        <v>569042308</v>
      </c>
      <c r="D81" s="1" t="s">
        <v>675</v>
      </c>
      <c r="E81" s="14">
        <v>81005603833</v>
      </c>
      <c r="F81" s="2">
        <f>IFERROR(VLOOKUP(B81,M10B!B:W,22,FALSE),0)</f>
        <v>0</v>
      </c>
      <c r="G81" s="1">
        <f t="shared" si="3"/>
        <v>0</v>
      </c>
      <c r="I81" s="17"/>
    </row>
    <row r="82" spans="1:9" x14ac:dyDescent="0.2">
      <c r="A82" s="1" t="s">
        <v>645</v>
      </c>
      <c r="B82" s="2" t="s">
        <v>662</v>
      </c>
      <c r="C82" s="1">
        <v>569033127</v>
      </c>
      <c r="D82" s="1" t="s">
        <v>663</v>
      </c>
      <c r="E82" s="14">
        <v>81005603841</v>
      </c>
      <c r="F82" s="2">
        <f>IFERROR(VLOOKUP(B82,M10B!B:W,22,FALSE),0)</f>
        <v>0</v>
      </c>
      <c r="G82" s="1">
        <f t="shared" si="3"/>
        <v>0</v>
      </c>
      <c r="I82" s="17"/>
    </row>
    <row r="83" spans="1:9" x14ac:dyDescent="0.2">
      <c r="A83" s="1" t="s">
        <v>645</v>
      </c>
      <c r="B83" s="2" t="s">
        <v>660</v>
      </c>
      <c r="C83" s="1">
        <v>569042313</v>
      </c>
      <c r="D83" s="1" t="s">
        <v>661</v>
      </c>
      <c r="E83" s="14">
        <v>81005603838</v>
      </c>
      <c r="F83" s="2">
        <f>IFERROR(VLOOKUP(B83,M10B!B:W,22,FALSE),0)</f>
        <v>0</v>
      </c>
      <c r="G83" s="1">
        <f t="shared" si="3"/>
        <v>0</v>
      </c>
      <c r="I83" s="17"/>
    </row>
    <row r="84" spans="1:9" x14ac:dyDescent="0.2">
      <c r="A84" s="1" t="s">
        <v>645</v>
      </c>
      <c r="B84" s="2" t="s">
        <v>658</v>
      </c>
      <c r="C84" s="1">
        <v>569023433</v>
      </c>
      <c r="D84" s="1" t="s">
        <v>659</v>
      </c>
      <c r="E84" s="14">
        <v>81005603846</v>
      </c>
      <c r="F84" s="2">
        <f>IFERROR(VLOOKUP(B84,M10B!B:W,22,FALSE),0)</f>
        <v>0</v>
      </c>
      <c r="G84" s="1">
        <f t="shared" si="3"/>
        <v>0</v>
      </c>
      <c r="I84" s="17"/>
    </row>
    <row r="85" spans="1:9" x14ac:dyDescent="0.2">
      <c r="A85" s="1" t="s">
        <v>645</v>
      </c>
      <c r="B85" s="2" t="s">
        <v>656</v>
      </c>
      <c r="C85" s="1">
        <v>569033441</v>
      </c>
      <c r="D85" s="1" t="s">
        <v>657</v>
      </c>
      <c r="E85" s="14">
        <v>81005603849</v>
      </c>
      <c r="F85" s="2">
        <f>IFERROR(VLOOKUP(B85,M10B!B:W,22,FALSE),0)</f>
        <v>0</v>
      </c>
      <c r="G85" s="1">
        <f t="shared" si="3"/>
        <v>0</v>
      </c>
      <c r="I85" s="17"/>
    </row>
    <row r="86" spans="1:9" x14ac:dyDescent="0.2">
      <c r="A86" s="1" t="s">
        <v>645</v>
      </c>
      <c r="B86" s="2" t="s">
        <v>654</v>
      </c>
      <c r="C86" s="1">
        <v>569033286</v>
      </c>
      <c r="D86" s="1" t="s">
        <v>655</v>
      </c>
      <c r="E86" s="14">
        <v>81005603855</v>
      </c>
      <c r="F86" s="2">
        <f>IFERROR(VLOOKUP(B86,M10B!B:W,22,FALSE),0)</f>
        <v>0</v>
      </c>
      <c r="G86" s="1">
        <f t="shared" si="3"/>
        <v>0</v>
      </c>
      <c r="I86" s="17"/>
    </row>
    <row r="87" spans="1:9" x14ac:dyDescent="0.2">
      <c r="A87" s="1" t="s">
        <v>645</v>
      </c>
      <c r="B87" s="2" t="s">
        <v>652</v>
      </c>
      <c r="C87" s="1">
        <v>569033505</v>
      </c>
      <c r="D87" s="1" t="s">
        <v>653</v>
      </c>
      <c r="E87" s="14">
        <v>81005603699</v>
      </c>
      <c r="F87" s="2">
        <f>IFERROR(VLOOKUP(B87,M10B!B:W,22,FALSE),0)</f>
        <v>0</v>
      </c>
      <c r="G87" s="1">
        <f t="shared" si="3"/>
        <v>0</v>
      </c>
      <c r="I87" s="17"/>
    </row>
    <row r="88" spans="1:9" x14ac:dyDescent="0.2">
      <c r="A88" s="1" t="s">
        <v>645</v>
      </c>
      <c r="B88" s="2" t="s">
        <v>650</v>
      </c>
      <c r="C88" s="1">
        <v>569042309</v>
      </c>
      <c r="D88" s="1" t="s">
        <v>651</v>
      </c>
      <c r="E88" s="14">
        <v>81005603858</v>
      </c>
      <c r="F88" s="2">
        <f>IFERROR(VLOOKUP(B88,M10B!B:W,22,FALSE),0)</f>
        <v>0</v>
      </c>
      <c r="G88" s="1">
        <f t="shared" si="3"/>
        <v>0</v>
      </c>
      <c r="I88" s="17"/>
    </row>
    <row r="89" spans="1:9" x14ac:dyDescent="0.2">
      <c r="A89" s="1" t="s">
        <v>645</v>
      </c>
      <c r="B89" s="2" t="s">
        <v>672</v>
      </c>
      <c r="C89" s="1">
        <v>569023441</v>
      </c>
      <c r="D89" s="1" t="s">
        <v>673</v>
      </c>
      <c r="E89" s="14">
        <v>81005603851</v>
      </c>
      <c r="F89" s="2">
        <f>IFERROR(VLOOKUP(B89,M10B!B:W,22,FALSE),0)</f>
        <v>0</v>
      </c>
      <c r="G89" s="1">
        <f t="shared" si="3"/>
        <v>0</v>
      </c>
      <c r="I89" s="17"/>
    </row>
    <row r="90" spans="1:9" x14ac:dyDescent="0.2">
      <c r="A90" s="1" t="s">
        <v>645</v>
      </c>
      <c r="B90" s="2" t="s">
        <v>648</v>
      </c>
      <c r="C90" s="1">
        <v>569023426</v>
      </c>
      <c r="D90" s="1" t="s">
        <v>649</v>
      </c>
      <c r="E90" s="14">
        <v>81005603850</v>
      </c>
      <c r="F90" s="2">
        <f>IFERROR(VLOOKUP(B90,M10B!B:W,22,FALSE),0)</f>
        <v>0</v>
      </c>
      <c r="G90" s="1">
        <f t="shared" si="3"/>
        <v>0</v>
      </c>
      <c r="I90" s="17"/>
    </row>
    <row r="91" spans="1:9" x14ac:dyDescent="0.2">
      <c r="A91" s="1" t="s">
        <v>645</v>
      </c>
      <c r="B91" s="2" t="s">
        <v>646</v>
      </c>
      <c r="C91" s="1">
        <v>569042281</v>
      </c>
      <c r="D91" s="1" t="s">
        <v>647</v>
      </c>
      <c r="E91" s="14">
        <v>81005603828</v>
      </c>
      <c r="F91" s="2">
        <f>IFERROR(VLOOKUP(B91,M10B!B:W,22,FALSE),0)</f>
        <v>0</v>
      </c>
      <c r="G91" s="1">
        <f t="shared" si="3"/>
        <v>0</v>
      </c>
      <c r="I91" s="17"/>
    </row>
    <row r="92" spans="1:9" x14ac:dyDescent="0.2">
      <c r="A92" s="1" t="s">
        <v>645</v>
      </c>
      <c r="B92" s="2" t="s">
        <v>670</v>
      </c>
      <c r="C92" s="1">
        <v>569033498</v>
      </c>
      <c r="D92" s="1" t="s">
        <v>671</v>
      </c>
      <c r="E92" s="14">
        <v>81005603836</v>
      </c>
      <c r="F92" s="2">
        <f>IFERROR(VLOOKUP(B92,M10B!B:W,22,FALSE),0)</f>
        <v>0</v>
      </c>
      <c r="G92" s="1">
        <f t="shared" si="3"/>
        <v>0</v>
      </c>
      <c r="I92" s="17"/>
    </row>
    <row r="93" spans="1:9" x14ac:dyDescent="0.2">
      <c r="A93" s="1" t="s">
        <v>645</v>
      </c>
      <c r="B93" s="2" t="s">
        <v>668</v>
      </c>
      <c r="C93" s="1">
        <v>569023430</v>
      </c>
      <c r="D93" s="1" t="s">
        <v>669</v>
      </c>
      <c r="E93" s="14">
        <v>81005603832</v>
      </c>
      <c r="F93" s="2">
        <f>IFERROR(VLOOKUP(B93,M10B!B:W,22,FALSE),0)</f>
        <v>0</v>
      </c>
      <c r="G93" s="1">
        <f t="shared" si="3"/>
        <v>0</v>
      </c>
      <c r="I93" s="17"/>
    </row>
    <row r="94" spans="1:9" x14ac:dyDescent="0.2">
      <c r="A94" s="1" t="s">
        <v>645</v>
      </c>
      <c r="B94" s="2" t="s">
        <v>666</v>
      </c>
      <c r="C94" s="1">
        <v>569033064</v>
      </c>
      <c r="D94" s="1" t="s">
        <v>667</v>
      </c>
      <c r="E94" s="14">
        <v>81005603856</v>
      </c>
      <c r="F94" s="2">
        <f>IFERROR(VLOOKUP(B94,M10B!B:W,22,FALSE),0)</f>
        <v>0</v>
      </c>
      <c r="G94" s="1">
        <f t="shared" si="3"/>
        <v>0</v>
      </c>
      <c r="I94" s="17"/>
    </row>
    <row r="95" spans="1:9" x14ac:dyDescent="0.2">
      <c r="A95" s="1" t="s">
        <v>605</v>
      </c>
      <c r="B95" s="2" t="s">
        <v>638</v>
      </c>
      <c r="C95" s="1">
        <v>569042286</v>
      </c>
      <c r="D95" s="1" t="s">
        <v>639</v>
      </c>
      <c r="E95" s="14">
        <v>81005603709</v>
      </c>
      <c r="F95" s="2">
        <f>IFERROR(VLOOKUP(B95,M10B!B:W,22,FALSE),0)</f>
        <v>6830.73</v>
      </c>
      <c r="G95" s="1">
        <f>CEILING(F95,36)</f>
        <v>6840</v>
      </c>
      <c r="I95" s="17"/>
    </row>
    <row r="96" spans="1:9" x14ac:dyDescent="0.2">
      <c r="A96" s="1" t="s">
        <v>605</v>
      </c>
      <c r="B96" s="2" t="s">
        <v>636</v>
      </c>
      <c r="C96" s="1">
        <v>569033453</v>
      </c>
      <c r="D96" s="1" t="s">
        <v>637</v>
      </c>
      <c r="E96" s="14">
        <v>81005603702</v>
      </c>
      <c r="F96" s="2">
        <f>IFERROR(VLOOKUP(B96,M10B!B:W,22,FALSE),0)</f>
        <v>19146.350000000002</v>
      </c>
      <c r="G96" s="1">
        <f>CEILING(F96,36)</f>
        <v>19152</v>
      </c>
      <c r="I96" s="17"/>
    </row>
    <row r="97" spans="1:9" x14ac:dyDescent="0.2">
      <c r="A97" s="1" t="s">
        <v>605</v>
      </c>
      <c r="B97" s="2" t="s">
        <v>634</v>
      </c>
      <c r="C97" s="1">
        <v>569023425</v>
      </c>
      <c r="D97" s="1" t="s">
        <v>635</v>
      </c>
      <c r="E97" s="14">
        <v>81005603706</v>
      </c>
      <c r="F97" s="2">
        <f>IFERROR(VLOOKUP(B97,M10B!B:W,22,FALSE),0)</f>
        <v>16705.57</v>
      </c>
      <c r="G97" s="1">
        <f>CEILING(F97,36)</f>
        <v>16740</v>
      </c>
      <c r="I97" s="17"/>
    </row>
    <row r="98" spans="1:9" x14ac:dyDescent="0.2">
      <c r="A98" s="1" t="s">
        <v>605</v>
      </c>
      <c r="B98" s="2" t="s">
        <v>640</v>
      </c>
      <c r="C98" s="1">
        <v>569042258</v>
      </c>
      <c r="D98" s="1" t="s">
        <v>641</v>
      </c>
      <c r="E98" s="14">
        <v>81005603663</v>
      </c>
      <c r="F98" s="2">
        <f>IFERROR(VLOOKUP(B98,M10B!B:W,22,FALSE),0)</f>
        <v>2846.15</v>
      </c>
      <c r="G98" s="1">
        <f>CEILING(F98,36)</f>
        <v>2880</v>
      </c>
      <c r="I98" s="17"/>
    </row>
    <row r="99" spans="1:9" x14ac:dyDescent="0.2">
      <c r="A99" s="1" t="s">
        <v>596</v>
      </c>
      <c r="B99" s="1" t="s">
        <v>598</v>
      </c>
      <c r="C99" s="1">
        <v>567240461</v>
      </c>
      <c r="D99" s="1" t="s">
        <v>597</v>
      </c>
      <c r="E99" s="15">
        <v>81005603629</v>
      </c>
      <c r="F99" s="2">
        <f>IFERROR(VLOOKUP(B99,M10B!B:W,22,FALSE),0)</f>
        <v>0</v>
      </c>
      <c r="G99" s="1">
        <f t="shared" ref="G99:G107" si="4">CEILING(F99,60)</f>
        <v>0</v>
      </c>
      <c r="I99" s="17"/>
    </row>
    <row r="100" spans="1:9" x14ac:dyDescent="0.2">
      <c r="A100" s="1" t="s">
        <v>617</v>
      </c>
      <c r="B100" s="1" t="s">
        <v>632</v>
      </c>
      <c r="C100" s="1">
        <v>569033437</v>
      </c>
      <c r="D100" s="1" t="s">
        <v>633</v>
      </c>
      <c r="E100" s="15">
        <v>81005603861</v>
      </c>
      <c r="F100" s="2">
        <f>IFERROR(VLOOKUP(B100,M10B!B:W,22,FALSE),0)</f>
        <v>0</v>
      </c>
      <c r="G100" s="1">
        <f t="shared" si="4"/>
        <v>0</v>
      </c>
      <c r="I100" s="17"/>
    </row>
    <row r="101" spans="1:9" x14ac:dyDescent="0.2">
      <c r="A101" s="1" t="s">
        <v>617</v>
      </c>
      <c r="B101" s="1" t="s">
        <v>630</v>
      </c>
      <c r="C101" s="1">
        <v>569042265</v>
      </c>
      <c r="D101" s="1" t="s">
        <v>631</v>
      </c>
      <c r="E101" s="15">
        <v>81005603834</v>
      </c>
      <c r="F101" s="2">
        <f>IFERROR(VLOOKUP(B101,M10B!B:W,22,FALSE),0)</f>
        <v>0</v>
      </c>
      <c r="G101" s="1">
        <f t="shared" si="4"/>
        <v>0</v>
      </c>
      <c r="I101" s="17"/>
    </row>
    <row r="102" spans="1:9" x14ac:dyDescent="0.2">
      <c r="A102" s="1" t="s">
        <v>617</v>
      </c>
      <c r="B102" s="1" t="s">
        <v>626</v>
      </c>
      <c r="C102" s="1">
        <v>569033500</v>
      </c>
      <c r="D102" s="1" t="s">
        <v>627</v>
      </c>
      <c r="E102" s="15">
        <v>81005603842</v>
      </c>
      <c r="F102" s="2">
        <f>IFERROR(VLOOKUP(B102,M10B!B:W,22,FALSE),0)</f>
        <v>0</v>
      </c>
      <c r="G102" s="1">
        <f t="shared" si="4"/>
        <v>0</v>
      </c>
      <c r="I102" s="17"/>
    </row>
    <row r="103" spans="1:9" x14ac:dyDescent="0.2">
      <c r="A103" s="1" t="s">
        <v>617</v>
      </c>
      <c r="B103" s="1" t="s">
        <v>624</v>
      </c>
      <c r="C103" s="1">
        <v>569042285</v>
      </c>
      <c r="D103" s="1" t="s">
        <v>625</v>
      </c>
      <c r="E103" s="15">
        <v>81005603847</v>
      </c>
      <c r="F103" s="2">
        <f>IFERROR(VLOOKUP(B103,M10B!B:W,22,FALSE),0)</f>
        <v>0</v>
      </c>
      <c r="G103" s="1">
        <f t="shared" si="4"/>
        <v>0</v>
      </c>
      <c r="I103" s="17"/>
    </row>
    <row r="104" spans="1:9" x14ac:dyDescent="0.2">
      <c r="A104" s="1" t="s">
        <v>617</v>
      </c>
      <c r="B104" s="1" t="s">
        <v>622</v>
      </c>
      <c r="C104" s="1">
        <v>569042274</v>
      </c>
      <c r="D104" s="1" t="s">
        <v>623</v>
      </c>
      <c r="E104" s="15">
        <v>81005603700</v>
      </c>
      <c r="F104" s="2">
        <f>IFERROR(VLOOKUP(B104,M10B!B:W,22,FALSE),0)</f>
        <v>0</v>
      </c>
      <c r="G104" s="1">
        <f t="shared" si="4"/>
        <v>0</v>
      </c>
      <c r="I104" s="17"/>
    </row>
    <row r="105" spans="1:9" x14ac:dyDescent="0.2">
      <c r="A105" s="1" t="s">
        <v>617</v>
      </c>
      <c r="B105" s="1" t="s">
        <v>620</v>
      </c>
      <c r="C105" s="1">
        <v>569023432</v>
      </c>
      <c r="D105" s="1" t="s">
        <v>621</v>
      </c>
      <c r="E105" s="15">
        <v>81005603859</v>
      </c>
      <c r="F105" s="2">
        <f>IFERROR(VLOOKUP(B105,M10B!B:W,22,FALSE),0)</f>
        <v>0</v>
      </c>
      <c r="G105" s="1">
        <f t="shared" si="4"/>
        <v>0</v>
      </c>
      <c r="I105" s="17"/>
    </row>
    <row r="106" spans="1:9" x14ac:dyDescent="0.2">
      <c r="A106" s="1" t="s">
        <v>617</v>
      </c>
      <c r="B106" s="1" t="s">
        <v>618</v>
      </c>
      <c r="C106" s="1">
        <v>569033211</v>
      </c>
      <c r="D106" s="1" t="s">
        <v>619</v>
      </c>
      <c r="E106" s="15">
        <v>81005603829</v>
      </c>
      <c r="F106" s="2">
        <f>IFERROR(VLOOKUP(B106,M10B!B:W,22,FALSE),0)</f>
        <v>0</v>
      </c>
      <c r="G106" s="1">
        <f t="shared" si="4"/>
        <v>0</v>
      </c>
      <c r="I106" s="17"/>
    </row>
    <row r="107" spans="1:9" x14ac:dyDescent="0.2">
      <c r="A107" s="1" t="s">
        <v>617</v>
      </c>
      <c r="B107" s="1" t="s">
        <v>628</v>
      </c>
      <c r="C107" s="1">
        <v>569042290</v>
      </c>
      <c r="D107" s="1" t="s">
        <v>629</v>
      </c>
      <c r="E107" s="15">
        <v>81005603857</v>
      </c>
      <c r="F107" s="2">
        <f>IFERROR(VLOOKUP(B107,M10B!B:W,22,FALSE),0)</f>
        <v>0</v>
      </c>
      <c r="G107" s="1">
        <f t="shared" si="4"/>
        <v>0</v>
      </c>
      <c r="I107" s="17"/>
    </row>
    <row r="108" spans="1:9" x14ac:dyDescent="0.2">
      <c r="A108" s="1" t="s">
        <v>371</v>
      </c>
      <c r="B108" s="1" t="s">
        <v>222</v>
      </c>
      <c r="C108" s="1">
        <v>554726540</v>
      </c>
      <c r="D108" s="1" t="s">
        <v>221</v>
      </c>
      <c r="E108" s="15">
        <v>81446902037</v>
      </c>
      <c r="F108" s="2">
        <f>IFERROR(VLOOKUP(B108,M10B!B:W,22,FALSE),0)</f>
        <v>0</v>
      </c>
      <c r="G108" s="1">
        <f>CEILING(F108,18)</f>
        <v>0</v>
      </c>
      <c r="I108" s="17"/>
    </row>
    <row r="109" spans="1:9" x14ac:dyDescent="0.2">
      <c r="A109" s="1" t="s">
        <v>606</v>
      </c>
      <c r="B109" s="1" t="s">
        <v>611</v>
      </c>
      <c r="C109" s="1">
        <v>569042312</v>
      </c>
      <c r="D109" s="1" t="s">
        <v>612</v>
      </c>
      <c r="E109" s="15">
        <v>81005603701</v>
      </c>
      <c r="F109" s="2">
        <f>IFERROR(VLOOKUP(B109,M10B!B:W,22,FALSE),0)</f>
        <v>0</v>
      </c>
      <c r="G109" s="1">
        <f>CEILING(F109,80)</f>
        <v>0</v>
      </c>
      <c r="I109" s="17"/>
    </row>
    <row r="110" spans="1:9" x14ac:dyDescent="0.2">
      <c r="A110" s="1" t="s">
        <v>606</v>
      </c>
      <c r="B110" s="1" t="s">
        <v>609</v>
      </c>
      <c r="C110" s="1">
        <v>569042280</v>
      </c>
      <c r="D110" s="1" t="s">
        <v>610</v>
      </c>
      <c r="E110" s="15">
        <v>81005603830</v>
      </c>
      <c r="F110" s="2">
        <f>IFERROR(VLOOKUP(B110,M10B!B:W,22,FALSE),0)</f>
        <v>0</v>
      </c>
      <c r="G110" s="1">
        <f>CEILING(F110,80)</f>
        <v>0</v>
      </c>
      <c r="I110" s="17"/>
    </row>
    <row r="111" spans="1:9" x14ac:dyDescent="0.2">
      <c r="A111" s="1" t="s">
        <v>606</v>
      </c>
      <c r="B111" s="1" t="s">
        <v>607</v>
      </c>
      <c r="C111" s="1">
        <v>569042291</v>
      </c>
      <c r="D111" s="1" t="s">
        <v>608</v>
      </c>
      <c r="E111" s="15">
        <v>81005603843</v>
      </c>
      <c r="F111" s="2">
        <f>IFERROR(VLOOKUP(B111,M10B!B:W,22,FALSE),0)</f>
        <v>0</v>
      </c>
      <c r="G111" s="1">
        <f>CEILING(F111,80)</f>
        <v>0</v>
      </c>
      <c r="I111" s="17"/>
    </row>
    <row r="112" spans="1:9" x14ac:dyDescent="0.2">
      <c r="A112" s="1" t="s">
        <v>606</v>
      </c>
      <c r="B112" s="1" t="s">
        <v>615</v>
      </c>
      <c r="C112" s="1">
        <v>569033356</v>
      </c>
      <c r="D112" s="1" t="s">
        <v>616</v>
      </c>
      <c r="E112" s="15">
        <v>81005603835</v>
      </c>
      <c r="F112" s="2">
        <f>IFERROR(VLOOKUP(B112,M10B!B:W,22,FALSE),0)</f>
        <v>0</v>
      </c>
      <c r="G112" s="1">
        <f>CEILING(F112,80)</f>
        <v>0</v>
      </c>
      <c r="I112" s="17"/>
    </row>
    <row r="113" spans="1:9" x14ac:dyDescent="0.2">
      <c r="A113" s="1" t="s">
        <v>606</v>
      </c>
      <c r="B113" s="1" t="s">
        <v>613</v>
      </c>
      <c r="C113" s="1">
        <v>569033434</v>
      </c>
      <c r="D113" s="1" t="s">
        <v>614</v>
      </c>
      <c r="E113" s="15">
        <v>81005603862</v>
      </c>
      <c r="F113" s="2">
        <f>IFERROR(VLOOKUP(B113,M10B!B:W,22,FALSE),0)</f>
        <v>0</v>
      </c>
      <c r="G113" s="1">
        <f>CEILING(F113,80)</f>
        <v>0</v>
      </c>
      <c r="I113" s="17"/>
    </row>
    <row r="114" spans="1:9" x14ac:dyDescent="0.2">
      <c r="A114" s="1" t="s">
        <v>372</v>
      </c>
      <c r="B114" s="1" t="s">
        <v>344</v>
      </c>
      <c r="C114" s="1">
        <v>553733132</v>
      </c>
      <c r="D114" s="1" t="s">
        <v>343</v>
      </c>
      <c r="E114" s="15">
        <v>81109801033</v>
      </c>
      <c r="F114" s="2">
        <f>IFERROR(VLOOKUP(B114,M10B!B:W,22,FALSE),0)</f>
        <v>0</v>
      </c>
      <c r="G114" s="1">
        <f t="shared" ref="G114:G132" si="5">CEILING(F114,54)</f>
        <v>0</v>
      </c>
      <c r="I114" s="17"/>
    </row>
    <row r="115" spans="1:9" x14ac:dyDescent="0.2">
      <c r="A115" s="1" t="s">
        <v>372</v>
      </c>
      <c r="B115" s="1" t="s">
        <v>253</v>
      </c>
      <c r="C115" s="1">
        <v>553733140</v>
      </c>
      <c r="D115" s="1" t="s">
        <v>252</v>
      </c>
      <c r="E115" s="15">
        <v>81109801016</v>
      </c>
      <c r="F115" s="2">
        <f>IFERROR(VLOOKUP(B115,M10B!B:W,22,FALSE),0)</f>
        <v>0</v>
      </c>
      <c r="G115" s="1">
        <f t="shared" si="5"/>
        <v>0</v>
      </c>
      <c r="I115" s="17"/>
    </row>
    <row r="116" spans="1:9" x14ac:dyDescent="0.2">
      <c r="A116" s="1" t="s">
        <v>372</v>
      </c>
      <c r="B116" s="1" t="s">
        <v>318</v>
      </c>
      <c r="C116" s="1">
        <v>553733142</v>
      </c>
      <c r="D116" s="1" t="s">
        <v>317</v>
      </c>
      <c r="E116" s="15">
        <v>81109801020</v>
      </c>
      <c r="F116" s="2">
        <f>IFERROR(VLOOKUP(B116,M10B!B:W,22,FALSE),0)</f>
        <v>0</v>
      </c>
      <c r="G116" s="1">
        <f t="shared" si="5"/>
        <v>0</v>
      </c>
      <c r="I116" s="17"/>
    </row>
    <row r="117" spans="1:9" x14ac:dyDescent="0.2">
      <c r="A117" s="1" t="s">
        <v>372</v>
      </c>
      <c r="B117" s="1" t="s">
        <v>310</v>
      </c>
      <c r="C117" s="1">
        <v>553733144</v>
      </c>
      <c r="D117" s="1" t="s">
        <v>309</v>
      </c>
      <c r="E117" s="15">
        <v>81109801037</v>
      </c>
      <c r="F117" s="2">
        <f>IFERROR(VLOOKUP(B117,M10B!B:W,22,FALSE),0)</f>
        <v>0</v>
      </c>
      <c r="G117" s="1">
        <f t="shared" si="5"/>
        <v>0</v>
      </c>
      <c r="I117" s="17"/>
    </row>
    <row r="118" spans="1:9" x14ac:dyDescent="0.2">
      <c r="A118" s="1" t="s">
        <v>372</v>
      </c>
      <c r="B118" s="1" t="s">
        <v>320</v>
      </c>
      <c r="C118" s="1">
        <v>553733147</v>
      </c>
      <c r="D118" s="1" t="s">
        <v>319</v>
      </c>
      <c r="E118" s="15">
        <v>81109801052</v>
      </c>
      <c r="F118" s="2">
        <f>IFERROR(VLOOKUP(B118,M10B!B:W,22,FALSE),0)</f>
        <v>0</v>
      </c>
      <c r="G118" s="1">
        <f t="shared" si="5"/>
        <v>0</v>
      </c>
      <c r="I118" s="17"/>
    </row>
    <row r="119" spans="1:9" x14ac:dyDescent="0.2">
      <c r="A119" s="1" t="s">
        <v>372</v>
      </c>
      <c r="B119" s="1" t="s">
        <v>316</v>
      </c>
      <c r="C119" s="1">
        <v>553733151</v>
      </c>
      <c r="D119" s="1" t="s">
        <v>315</v>
      </c>
      <c r="E119" s="15">
        <v>81109801022</v>
      </c>
      <c r="F119" s="2">
        <f>IFERROR(VLOOKUP(B119,M10B!B:W,22,FALSE),0)</f>
        <v>0</v>
      </c>
      <c r="G119" s="1">
        <f t="shared" si="5"/>
        <v>0</v>
      </c>
      <c r="I119" s="17"/>
    </row>
    <row r="120" spans="1:9" x14ac:dyDescent="0.2">
      <c r="A120" s="1" t="s">
        <v>372</v>
      </c>
      <c r="B120" s="1" t="s">
        <v>308</v>
      </c>
      <c r="C120" s="1">
        <v>553733154</v>
      </c>
      <c r="D120" s="1" t="s">
        <v>307</v>
      </c>
      <c r="E120" s="15">
        <v>81109801043</v>
      </c>
      <c r="F120" s="2">
        <f>IFERROR(VLOOKUP(B120,M10B!B:W,22,FALSE),0)</f>
        <v>0</v>
      </c>
      <c r="G120" s="1">
        <f t="shared" si="5"/>
        <v>0</v>
      </c>
      <c r="I120" s="17"/>
    </row>
    <row r="121" spans="1:9" x14ac:dyDescent="0.2">
      <c r="A121" s="1" t="s">
        <v>372</v>
      </c>
      <c r="B121" s="1" t="s">
        <v>306</v>
      </c>
      <c r="C121" s="1">
        <v>553733149</v>
      </c>
      <c r="D121" s="1" t="s">
        <v>305</v>
      </c>
      <c r="E121" s="15">
        <v>81109801011</v>
      </c>
      <c r="F121" s="2">
        <f>IFERROR(VLOOKUP(B121,M10B!B:W,22,FALSE),0)</f>
        <v>0</v>
      </c>
      <c r="G121" s="1">
        <f t="shared" si="5"/>
        <v>0</v>
      </c>
      <c r="I121" s="17"/>
    </row>
    <row r="122" spans="1:9" x14ac:dyDescent="0.2">
      <c r="A122" s="1" t="s">
        <v>372</v>
      </c>
      <c r="B122" s="1" t="s">
        <v>290</v>
      </c>
      <c r="C122" s="1">
        <v>553733137</v>
      </c>
      <c r="D122" s="1" t="s">
        <v>289</v>
      </c>
      <c r="E122" s="15">
        <v>81109801026</v>
      </c>
      <c r="F122" s="2">
        <f>IFERROR(VLOOKUP(B122,M10B!B:W,22,FALSE),0)</f>
        <v>0</v>
      </c>
      <c r="G122" s="1">
        <f t="shared" si="5"/>
        <v>0</v>
      </c>
      <c r="I122" s="17"/>
    </row>
    <row r="123" spans="1:9" x14ac:dyDescent="0.2">
      <c r="A123" s="1" t="s">
        <v>372</v>
      </c>
      <c r="B123" s="1" t="s">
        <v>340</v>
      </c>
      <c r="C123" s="1">
        <v>553733171</v>
      </c>
      <c r="D123" s="1" t="s">
        <v>339</v>
      </c>
      <c r="E123" s="15">
        <v>81109801035</v>
      </c>
      <c r="F123" s="2">
        <f>IFERROR(VLOOKUP(B123,M10B!B:W,22,FALSE),0)</f>
        <v>0</v>
      </c>
      <c r="G123" s="1">
        <f t="shared" si="5"/>
        <v>0</v>
      </c>
      <c r="I123" s="17"/>
    </row>
    <row r="124" spans="1:9" x14ac:dyDescent="0.2">
      <c r="A124" s="1" t="s">
        <v>372</v>
      </c>
      <c r="B124" s="1" t="s">
        <v>322</v>
      </c>
      <c r="C124" s="1">
        <v>553733173</v>
      </c>
      <c r="D124" s="1" t="s">
        <v>321</v>
      </c>
      <c r="E124" s="15">
        <v>81109801005</v>
      </c>
      <c r="F124" s="2">
        <f>IFERROR(VLOOKUP(B124,M10B!B:W,22,FALSE),0)</f>
        <v>0</v>
      </c>
      <c r="G124" s="1">
        <f t="shared" si="5"/>
        <v>0</v>
      </c>
      <c r="I124" s="17"/>
    </row>
    <row r="125" spans="1:9" x14ac:dyDescent="0.2">
      <c r="A125" s="1" t="s">
        <v>372</v>
      </c>
      <c r="B125" s="1" t="s">
        <v>326</v>
      </c>
      <c r="C125" s="1">
        <v>553733172</v>
      </c>
      <c r="D125" s="1" t="s">
        <v>325</v>
      </c>
      <c r="E125" s="15">
        <v>81109801042</v>
      </c>
      <c r="F125" s="2">
        <f>IFERROR(VLOOKUP(B125,M10B!B:W,22,FALSE),0)</f>
        <v>0</v>
      </c>
      <c r="G125" s="1">
        <f t="shared" si="5"/>
        <v>0</v>
      </c>
      <c r="I125" s="17"/>
    </row>
    <row r="126" spans="1:9" x14ac:dyDescent="0.2">
      <c r="A126" s="1" t="s">
        <v>372</v>
      </c>
      <c r="B126" s="1" t="s">
        <v>282</v>
      </c>
      <c r="C126" s="1">
        <v>553733156</v>
      </c>
      <c r="D126" s="1" t="s">
        <v>281</v>
      </c>
      <c r="E126" s="15">
        <v>81109801034</v>
      </c>
      <c r="F126" s="2">
        <f>IFERROR(VLOOKUP(B126,M10B!B:W,22,FALSE),0)</f>
        <v>0</v>
      </c>
      <c r="G126" s="1">
        <f t="shared" si="5"/>
        <v>0</v>
      </c>
      <c r="I126" s="17"/>
    </row>
    <row r="127" spans="1:9" x14ac:dyDescent="0.2">
      <c r="A127" s="1" t="s">
        <v>372</v>
      </c>
      <c r="B127" s="1" t="s">
        <v>332</v>
      </c>
      <c r="C127" s="1">
        <v>553733157</v>
      </c>
      <c r="D127" s="1" t="s">
        <v>331</v>
      </c>
      <c r="E127" s="15">
        <v>81109801019</v>
      </c>
      <c r="F127" s="2">
        <f>IFERROR(VLOOKUP(B127,M10B!B:W,22,FALSE),0)</f>
        <v>0</v>
      </c>
      <c r="G127" s="1">
        <f t="shared" si="5"/>
        <v>0</v>
      </c>
      <c r="I127" s="17"/>
    </row>
    <row r="128" spans="1:9" x14ac:dyDescent="0.2">
      <c r="A128" s="1" t="s">
        <v>372</v>
      </c>
      <c r="B128" s="1" t="s">
        <v>206</v>
      </c>
      <c r="C128" s="1">
        <v>553733160</v>
      </c>
      <c r="D128" s="1" t="s">
        <v>205</v>
      </c>
      <c r="E128" s="15">
        <v>81109801051</v>
      </c>
      <c r="F128" s="2">
        <f>IFERROR(VLOOKUP(B128,M10B!B:W,22,FALSE),0)</f>
        <v>0</v>
      </c>
      <c r="G128" s="1">
        <f t="shared" si="5"/>
        <v>0</v>
      </c>
      <c r="I128" s="17"/>
    </row>
    <row r="129" spans="1:9" x14ac:dyDescent="0.2">
      <c r="A129" s="1" t="s">
        <v>372</v>
      </c>
      <c r="B129" s="1" t="s">
        <v>278</v>
      </c>
      <c r="C129" s="1">
        <v>553733162</v>
      </c>
      <c r="D129" s="1" t="s">
        <v>277</v>
      </c>
      <c r="E129" s="15">
        <v>81109801060</v>
      </c>
      <c r="F129" s="2">
        <f>IFERROR(VLOOKUP(B129,M10B!B:W,22,FALSE),0)</f>
        <v>0</v>
      </c>
      <c r="G129" s="1">
        <f t="shared" si="5"/>
        <v>0</v>
      </c>
      <c r="I129" s="17"/>
    </row>
    <row r="130" spans="1:9" x14ac:dyDescent="0.2">
      <c r="A130" s="1" t="s">
        <v>372</v>
      </c>
      <c r="B130" s="1" t="s">
        <v>286</v>
      </c>
      <c r="C130" s="1">
        <v>553733161</v>
      </c>
      <c r="D130" s="1" t="s">
        <v>285</v>
      </c>
      <c r="E130" s="15">
        <v>81109801044</v>
      </c>
      <c r="F130" s="2">
        <f>IFERROR(VLOOKUP(B130,M10B!B:W,22,FALSE),0)</f>
        <v>0</v>
      </c>
      <c r="G130" s="1">
        <f t="shared" si="5"/>
        <v>0</v>
      </c>
      <c r="I130" s="17"/>
    </row>
    <row r="131" spans="1:9" x14ac:dyDescent="0.2">
      <c r="A131" s="1" t="s">
        <v>372</v>
      </c>
      <c r="B131" s="1" t="s">
        <v>334</v>
      </c>
      <c r="C131" s="1">
        <v>553733163</v>
      </c>
      <c r="D131" s="1" t="s">
        <v>333</v>
      </c>
      <c r="E131" s="15">
        <v>81109801064</v>
      </c>
      <c r="F131" s="2">
        <f>IFERROR(VLOOKUP(B131,M10B!B:W,22,FALSE),0)</f>
        <v>0</v>
      </c>
      <c r="G131" s="1">
        <f t="shared" si="5"/>
        <v>0</v>
      </c>
      <c r="I131" s="17"/>
    </row>
    <row r="132" spans="1:9" x14ac:dyDescent="0.2">
      <c r="A132" s="1" t="s">
        <v>372</v>
      </c>
      <c r="B132" s="1" t="s">
        <v>328</v>
      </c>
      <c r="C132" s="1">
        <v>553737261</v>
      </c>
      <c r="D132" s="1" t="s">
        <v>327</v>
      </c>
      <c r="E132" s="15">
        <v>81109801061</v>
      </c>
      <c r="F132" s="2">
        <f>IFERROR(VLOOKUP(B132,M10B!B:W,22,FALSE),0)</f>
        <v>0</v>
      </c>
      <c r="G132" s="1">
        <f t="shared" si="5"/>
        <v>0</v>
      </c>
      <c r="I132" s="17"/>
    </row>
    <row r="133" spans="1:9" x14ac:dyDescent="0.2">
      <c r="A133" s="1" t="s">
        <v>436</v>
      </c>
      <c r="B133" s="1" t="s">
        <v>438</v>
      </c>
      <c r="C133" s="1">
        <v>558137496</v>
      </c>
      <c r="D133" s="1" t="s">
        <v>437</v>
      </c>
      <c r="E133" s="15">
        <v>81446902738</v>
      </c>
      <c r="F133" s="2">
        <f>IFERROR(VLOOKUP(B133,M10B!B:W,22,FALSE),0)</f>
        <v>0</v>
      </c>
      <c r="G133" s="1">
        <f t="shared" ref="G133:G157" si="6">CEILING(F133,80)</f>
        <v>0</v>
      </c>
      <c r="I133" s="17"/>
    </row>
    <row r="134" spans="1:9" x14ac:dyDescent="0.2">
      <c r="A134" s="1" t="s">
        <v>436</v>
      </c>
      <c r="B134" s="1" t="s">
        <v>440</v>
      </c>
      <c r="C134" s="1">
        <v>558137524</v>
      </c>
      <c r="D134" s="1" t="s">
        <v>439</v>
      </c>
      <c r="E134" s="15">
        <v>81446902744</v>
      </c>
      <c r="F134" s="2">
        <f>IFERROR(VLOOKUP(B134,M10B!B:W,22,FALSE),0)</f>
        <v>0</v>
      </c>
      <c r="G134" s="1">
        <f t="shared" si="6"/>
        <v>0</v>
      </c>
      <c r="I134" s="17"/>
    </row>
    <row r="135" spans="1:9" x14ac:dyDescent="0.2">
      <c r="A135" s="1" t="s">
        <v>436</v>
      </c>
      <c r="B135" s="1" t="s">
        <v>470</v>
      </c>
      <c r="C135" s="1">
        <v>558137525</v>
      </c>
      <c r="D135" s="1" t="s">
        <v>469</v>
      </c>
      <c r="E135" s="15">
        <v>81446902741</v>
      </c>
      <c r="F135" s="2">
        <f>IFERROR(VLOOKUP(B135,M10B!B:W,22,FALSE),0)</f>
        <v>0</v>
      </c>
      <c r="G135" s="1">
        <f t="shared" si="6"/>
        <v>0</v>
      </c>
      <c r="I135" s="17"/>
    </row>
    <row r="136" spans="1:9" x14ac:dyDescent="0.2">
      <c r="A136" s="1" t="s">
        <v>436</v>
      </c>
      <c r="B136" s="1" t="s">
        <v>472</v>
      </c>
      <c r="C136" s="1">
        <v>558137517</v>
      </c>
      <c r="D136" s="1" t="s">
        <v>471</v>
      </c>
      <c r="E136" s="15">
        <v>81446902804</v>
      </c>
      <c r="F136" s="2">
        <f>IFERROR(VLOOKUP(B136,M10B!B:W,22,FALSE),0)</f>
        <v>0</v>
      </c>
      <c r="G136" s="1">
        <f t="shared" si="6"/>
        <v>0</v>
      </c>
      <c r="I136" s="17"/>
    </row>
    <row r="137" spans="1:9" x14ac:dyDescent="0.2">
      <c r="A137" s="1" t="s">
        <v>436</v>
      </c>
      <c r="B137" s="1" t="s">
        <v>474</v>
      </c>
      <c r="C137" s="1">
        <v>558137503</v>
      </c>
      <c r="D137" s="1" t="s">
        <v>473</v>
      </c>
      <c r="E137" s="15">
        <v>81446902806</v>
      </c>
      <c r="F137" s="2">
        <f>IFERROR(VLOOKUP(B137,M10B!B:W,22,FALSE),0)</f>
        <v>0</v>
      </c>
      <c r="G137" s="1">
        <f t="shared" si="6"/>
        <v>0</v>
      </c>
      <c r="I137" s="17"/>
    </row>
    <row r="138" spans="1:9" x14ac:dyDescent="0.2">
      <c r="A138" s="1" t="s">
        <v>436</v>
      </c>
      <c r="B138" s="1" t="s">
        <v>476</v>
      </c>
      <c r="C138" s="1">
        <v>558137509</v>
      </c>
      <c r="D138" s="1" t="s">
        <v>475</v>
      </c>
      <c r="E138" s="15">
        <v>81446902737</v>
      </c>
      <c r="F138" s="2">
        <f>IFERROR(VLOOKUP(B138,M10B!B:W,22,FALSE),0)</f>
        <v>0</v>
      </c>
      <c r="G138" s="1">
        <f t="shared" si="6"/>
        <v>0</v>
      </c>
      <c r="I138" s="17"/>
    </row>
    <row r="139" spans="1:9" x14ac:dyDescent="0.2">
      <c r="A139" s="1" t="s">
        <v>436</v>
      </c>
      <c r="B139" s="1" t="s">
        <v>478</v>
      </c>
      <c r="C139" s="1">
        <v>558137501</v>
      </c>
      <c r="D139" s="1" t="s">
        <v>477</v>
      </c>
      <c r="E139" s="15">
        <v>81446902735</v>
      </c>
      <c r="F139" s="2">
        <f>IFERROR(VLOOKUP(B139,M10B!B:W,22,FALSE),0)</f>
        <v>0</v>
      </c>
      <c r="G139" s="1">
        <f t="shared" si="6"/>
        <v>0</v>
      </c>
      <c r="I139" s="17"/>
    </row>
    <row r="140" spans="1:9" x14ac:dyDescent="0.2">
      <c r="A140" s="1" t="s">
        <v>436</v>
      </c>
      <c r="B140" s="1" t="s">
        <v>480</v>
      </c>
      <c r="C140" s="1">
        <v>558137498</v>
      </c>
      <c r="D140" s="1" t="s">
        <v>479</v>
      </c>
      <c r="E140" s="15">
        <v>81446902736</v>
      </c>
      <c r="F140" s="2">
        <f>IFERROR(VLOOKUP(B140,M10B!B:W,22,FALSE),0)</f>
        <v>0</v>
      </c>
      <c r="G140" s="1">
        <f t="shared" si="6"/>
        <v>0</v>
      </c>
      <c r="I140" s="17"/>
    </row>
    <row r="141" spans="1:9" x14ac:dyDescent="0.2">
      <c r="A141" s="1" t="s">
        <v>436</v>
      </c>
      <c r="B141" s="1" t="s">
        <v>482</v>
      </c>
      <c r="C141" s="1">
        <v>558137497</v>
      </c>
      <c r="D141" s="1" t="s">
        <v>481</v>
      </c>
      <c r="E141" s="15">
        <v>81446902734</v>
      </c>
      <c r="F141" s="2">
        <f>IFERROR(VLOOKUP(B141,M10B!B:W,22,FALSE),0)</f>
        <v>0</v>
      </c>
      <c r="G141" s="1">
        <f t="shared" si="6"/>
        <v>0</v>
      </c>
      <c r="I141" s="17"/>
    </row>
    <row r="142" spans="1:9" x14ac:dyDescent="0.2">
      <c r="A142" s="1" t="s">
        <v>436</v>
      </c>
      <c r="B142" s="1" t="s">
        <v>484</v>
      </c>
      <c r="C142" s="1">
        <v>558137511</v>
      </c>
      <c r="D142" s="1" t="s">
        <v>483</v>
      </c>
      <c r="E142" s="15">
        <v>81446902807</v>
      </c>
      <c r="F142" s="2">
        <f>IFERROR(VLOOKUP(B142,M10B!B:W,22,FALSE),0)</f>
        <v>0</v>
      </c>
      <c r="G142" s="1">
        <f t="shared" si="6"/>
        <v>0</v>
      </c>
      <c r="I142" s="17"/>
    </row>
    <row r="143" spans="1:9" x14ac:dyDescent="0.2">
      <c r="A143" s="1" t="s">
        <v>436</v>
      </c>
      <c r="B143" s="1" t="s">
        <v>442</v>
      </c>
      <c r="C143" s="1">
        <v>558137521</v>
      </c>
      <c r="D143" s="1" t="s">
        <v>441</v>
      </c>
      <c r="E143" s="15">
        <v>81446902690</v>
      </c>
      <c r="F143" s="2">
        <f>IFERROR(VLOOKUP(B143,M10B!B:W,22,FALSE),0)</f>
        <v>0</v>
      </c>
      <c r="G143" s="1">
        <f t="shared" si="6"/>
        <v>0</v>
      </c>
      <c r="I143" s="17"/>
    </row>
    <row r="144" spans="1:9" x14ac:dyDescent="0.2">
      <c r="A144" s="1" t="s">
        <v>436</v>
      </c>
      <c r="B144" s="1" t="s">
        <v>444</v>
      </c>
      <c r="C144" s="1">
        <v>558137519</v>
      </c>
      <c r="D144" s="1" t="s">
        <v>443</v>
      </c>
      <c r="E144" s="15">
        <v>81446902689</v>
      </c>
      <c r="F144" s="2">
        <f>IFERROR(VLOOKUP(B144,M10B!B:W,22,FALSE),0)</f>
        <v>0</v>
      </c>
      <c r="G144" s="1">
        <f t="shared" si="6"/>
        <v>0</v>
      </c>
      <c r="I144" s="17"/>
    </row>
    <row r="145" spans="1:9" x14ac:dyDescent="0.2">
      <c r="A145" s="1" t="s">
        <v>436</v>
      </c>
      <c r="B145" s="1" t="s">
        <v>446</v>
      </c>
      <c r="C145" s="1">
        <v>558137518</v>
      </c>
      <c r="D145" s="1" t="s">
        <v>445</v>
      </c>
      <c r="E145" s="15">
        <v>81446902679</v>
      </c>
      <c r="F145" s="2">
        <f>IFERROR(VLOOKUP(B145,M10B!B:W,22,FALSE),0)</f>
        <v>0</v>
      </c>
      <c r="G145" s="1">
        <f t="shared" si="6"/>
        <v>0</v>
      </c>
      <c r="I145" s="17"/>
    </row>
    <row r="146" spans="1:9" x14ac:dyDescent="0.2">
      <c r="A146" s="1" t="s">
        <v>436</v>
      </c>
      <c r="B146" s="1" t="s">
        <v>448</v>
      </c>
      <c r="C146" s="1">
        <v>558137505</v>
      </c>
      <c r="D146" s="1" t="s">
        <v>447</v>
      </c>
      <c r="E146" s="15">
        <v>81446902685</v>
      </c>
      <c r="F146" s="2">
        <f>IFERROR(VLOOKUP(B146,M10B!B:W,22,FALSE),0)</f>
        <v>0</v>
      </c>
      <c r="G146" s="1">
        <f t="shared" si="6"/>
        <v>0</v>
      </c>
      <c r="I146" s="17"/>
    </row>
    <row r="147" spans="1:9" x14ac:dyDescent="0.2">
      <c r="A147" s="1" t="s">
        <v>436</v>
      </c>
      <c r="B147" s="1" t="s">
        <v>450</v>
      </c>
      <c r="C147" s="1">
        <v>558137504</v>
      </c>
      <c r="D147" s="1" t="s">
        <v>449</v>
      </c>
      <c r="E147" s="15">
        <v>81446902684</v>
      </c>
      <c r="F147" s="2">
        <f>IFERROR(VLOOKUP(B147,M10B!B:W,22,FALSE),0)</f>
        <v>0</v>
      </c>
      <c r="G147" s="1">
        <f t="shared" si="6"/>
        <v>0</v>
      </c>
      <c r="I147" s="17"/>
    </row>
    <row r="148" spans="1:9" x14ac:dyDescent="0.2">
      <c r="A148" s="1" t="s">
        <v>436</v>
      </c>
      <c r="B148" s="1" t="s">
        <v>452</v>
      </c>
      <c r="C148" s="1">
        <v>558137522</v>
      </c>
      <c r="D148" s="1" t="s">
        <v>451</v>
      </c>
      <c r="E148" s="15">
        <v>81446902800</v>
      </c>
      <c r="F148" s="2">
        <f>IFERROR(VLOOKUP(B148,M10B!B:W,22,FALSE),0)</f>
        <v>0</v>
      </c>
      <c r="G148" s="1">
        <f t="shared" si="6"/>
        <v>0</v>
      </c>
      <c r="I148" s="17"/>
    </row>
    <row r="149" spans="1:9" x14ac:dyDescent="0.2">
      <c r="A149" s="1" t="s">
        <v>436</v>
      </c>
      <c r="B149" s="1" t="s">
        <v>454</v>
      </c>
      <c r="C149" s="1">
        <v>558137515</v>
      </c>
      <c r="D149" s="1" t="s">
        <v>453</v>
      </c>
      <c r="E149" s="15">
        <v>81446902681</v>
      </c>
      <c r="F149" s="2">
        <f>IFERROR(VLOOKUP(B149,M10B!B:W,22,FALSE),0)</f>
        <v>0</v>
      </c>
      <c r="G149" s="1">
        <f t="shared" si="6"/>
        <v>0</v>
      </c>
      <c r="I149" s="17"/>
    </row>
    <row r="150" spans="1:9" x14ac:dyDescent="0.2">
      <c r="A150" s="1" t="s">
        <v>436</v>
      </c>
      <c r="B150" s="1" t="s">
        <v>456</v>
      </c>
      <c r="C150" s="1">
        <v>558137516</v>
      </c>
      <c r="D150" s="1" t="s">
        <v>455</v>
      </c>
      <c r="E150" s="15">
        <v>81446902826</v>
      </c>
      <c r="F150" s="2">
        <f>IFERROR(VLOOKUP(B150,M10B!B:W,22,FALSE),0)</f>
        <v>0</v>
      </c>
      <c r="G150" s="1">
        <f t="shared" si="6"/>
        <v>0</v>
      </c>
      <c r="I150" s="17"/>
    </row>
    <row r="151" spans="1:9" x14ac:dyDescent="0.2">
      <c r="A151" s="1" t="s">
        <v>436</v>
      </c>
      <c r="B151" s="1" t="s">
        <v>458</v>
      </c>
      <c r="C151" s="1">
        <v>558137512</v>
      </c>
      <c r="D151" s="1" t="s">
        <v>457</v>
      </c>
      <c r="E151" s="15">
        <v>81446902688</v>
      </c>
      <c r="F151" s="2">
        <f>IFERROR(VLOOKUP(B151,M10B!B:W,22,FALSE),0)</f>
        <v>0</v>
      </c>
      <c r="G151" s="1">
        <f t="shared" si="6"/>
        <v>0</v>
      </c>
      <c r="I151" s="17"/>
    </row>
    <row r="152" spans="1:9" x14ac:dyDescent="0.2">
      <c r="A152" s="1" t="s">
        <v>436</v>
      </c>
      <c r="B152" s="1" t="s">
        <v>460</v>
      </c>
      <c r="C152" s="1">
        <v>558137510</v>
      </c>
      <c r="D152" s="1" t="s">
        <v>459</v>
      </c>
      <c r="E152" s="15">
        <v>81446902683</v>
      </c>
      <c r="F152" s="2">
        <f>IFERROR(VLOOKUP(B152,M10B!B:W,22,FALSE),0)</f>
        <v>0</v>
      </c>
      <c r="G152" s="1">
        <f t="shared" si="6"/>
        <v>0</v>
      </c>
      <c r="I152" s="17"/>
    </row>
    <row r="153" spans="1:9" x14ac:dyDescent="0.2">
      <c r="A153" s="1" t="s">
        <v>436</v>
      </c>
      <c r="B153" s="1" t="s">
        <v>462</v>
      </c>
      <c r="C153" s="1">
        <v>558137523</v>
      </c>
      <c r="D153" s="1" t="s">
        <v>461</v>
      </c>
      <c r="E153" s="15">
        <v>81446902676</v>
      </c>
      <c r="F153" s="2">
        <f>IFERROR(VLOOKUP(B153,M10B!B:W,22,FALSE),0)</f>
        <v>0</v>
      </c>
      <c r="G153" s="1">
        <f t="shared" si="6"/>
        <v>0</v>
      </c>
      <c r="I153" s="17"/>
    </row>
    <row r="154" spans="1:9" x14ac:dyDescent="0.2">
      <c r="A154" s="1" t="s">
        <v>436</v>
      </c>
      <c r="B154" s="1" t="s">
        <v>464</v>
      </c>
      <c r="C154" s="1">
        <v>558137508</v>
      </c>
      <c r="D154" s="1" t="s">
        <v>463</v>
      </c>
      <c r="E154" s="15">
        <v>81446902687</v>
      </c>
      <c r="F154" s="2">
        <f>IFERROR(VLOOKUP(B154,M10B!B:W,22,FALSE),0)</f>
        <v>0</v>
      </c>
      <c r="G154" s="1">
        <f t="shared" si="6"/>
        <v>0</v>
      </c>
      <c r="I154" s="17"/>
    </row>
    <row r="155" spans="1:9" x14ac:dyDescent="0.2">
      <c r="A155" s="1" t="s">
        <v>436</v>
      </c>
      <c r="B155" s="1" t="s">
        <v>466</v>
      </c>
      <c r="C155" s="1">
        <v>558137507</v>
      </c>
      <c r="D155" s="1" t="s">
        <v>465</v>
      </c>
      <c r="E155" s="15">
        <v>81446902691</v>
      </c>
      <c r="F155" s="2">
        <f>IFERROR(VLOOKUP(B155,M10B!B:W,22,FALSE),0)</f>
        <v>0</v>
      </c>
      <c r="G155" s="1">
        <f t="shared" si="6"/>
        <v>0</v>
      </c>
      <c r="I155" s="17"/>
    </row>
    <row r="156" spans="1:9" x14ac:dyDescent="0.2">
      <c r="A156" s="1" t="s">
        <v>436</v>
      </c>
      <c r="B156" s="1" t="s">
        <v>468</v>
      </c>
      <c r="C156" s="1">
        <v>558137513</v>
      </c>
      <c r="D156" s="1" t="s">
        <v>467</v>
      </c>
      <c r="E156" s="15">
        <v>81446902675</v>
      </c>
      <c r="F156" s="2">
        <f>IFERROR(VLOOKUP(B156,M10B!B:W,22,FALSE),0)</f>
        <v>0</v>
      </c>
      <c r="G156" s="1">
        <f t="shared" si="6"/>
        <v>0</v>
      </c>
      <c r="I156" s="17"/>
    </row>
    <row r="157" spans="1:9" x14ac:dyDescent="0.2">
      <c r="A157" s="1" t="s">
        <v>373</v>
      </c>
      <c r="B157" s="1" t="s">
        <v>235</v>
      </c>
      <c r="C157" s="1">
        <v>553737442</v>
      </c>
      <c r="D157" s="1" t="s">
        <v>234</v>
      </c>
      <c r="E157" s="15">
        <v>81109801047</v>
      </c>
      <c r="F157" s="2">
        <f>IFERROR(VLOOKUP(B157,M10B!B:W,22,FALSE),0)</f>
        <v>0</v>
      </c>
      <c r="G157" s="1">
        <f t="shared" si="6"/>
        <v>0</v>
      </c>
      <c r="I157" s="17"/>
    </row>
    <row r="158" spans="1:9" x14ac:dyDescent="0.2">
      <c r="A158" s="1" t="s">
        <v>423</v>
      </c>
      <c r="B158" s="1" t="s">
        <v>424</v>
      </c>
      <c r="C158" s="1">
        <v>555086367</v>
      </c>
      <c r="D158" s="1" t="s">
        <v>425</v>
      </c>
      <c r="E158" s="15">
        <v>81446902359</v>
      </c>
      <c r="F158" s="2">
        <f>IFERROR(VLOOKUP(B158,M10B!B:W,22,FALSE),0)</f>
        <v>4447.3582079999996</v>
      </c>
      <c r="G158" s="1">
        <f>CEILING(F158,48)</f>
        <v>4464</v>
      </c>
      <c r="I158" s="17"/>
    </row>
    <row r="159" spans="1:9" x14ac:dyDescent="0.2">
      <c r="A159" s="1" t="s">
        <v>423</v>
      </c>
      <c r="B159" s="1" t="s">
        <v>426</v>
      </c>
      <c r="C159" s="1">
        <v>555086364</v>
      </c>
      <c r="D159" s="1" t="s">
        <v>427</v>
      </c>
      <c r="E159" s="15">
        <v>81446902360</v>
      </c>
      <c r="F159" s="2">
        <f>IFERROR(VLOOKUP(B159,M10B!B:W,22,FALSE),0)</f>
        <v>4360.5092000000004</v>
      </c>
      <c r="G159" s="1">
        <f>CEILING(F159,48)</f>
        <v>4368</v>
      </c>
      <c r="I159" s="17"/>
    </row>
    <row r="160" spans="1:9" x14ac:dyDescent="0.2">
      <c r="A160" s="1" t="s">
        <v>423</v>
      </c>
      <c r="B160" s="1" t="s">
        <v>428</v>
      </c>
      <c r="C160" s="1">
        <v>555086362</v>
      </c>
      <c r="D160" s="1" t="s">
        <v>429</v>
      </c>
      <c r="E160" s="15">
        <v>81446902361</v>
      </c>
      <c r="F160" s="2">
        <f>IFERROR(VLOOKUP(B160,M10B!B:W,22,FALSE),0)</f>
        <v>10911.910199999998</v>
      </c>
      <c r="G160" s="1">
        <f>CEILING(F160,48)</f>
        <v>10944</v>
      </c>
      <c r="I160" s="17"/>
    </row>
    <row r="161" spans="1:9" x14ac:dyDescent="0.2">
      <c r="A161" s="1" t="s">
        <v>368</v>
      </c>
      <c r="B161" s="1" t="s">
        <v>71</v>
      </c>
      <c r="C161" s="1">
        <v>554738314</v>
      </c>
      <c r="D161" s="1" t="s">
        <v>70</v>
      </c>
      <c r="E161" s="15">
        <v>81109801230</v>
      </c>
      <c r="F161" s="2">
        <f>IFERROR(VLOOKUP(B161,M10B!B:W,22,FALSE),0)</f>
        <v>0</v>
      </c>
      <c r="G161" s="1">
        <f t="shared" ref="G161:G192" si="7">CEILING(F161,576)</f>
        <v>0</v>
      </c>
      <c r="I161" s="17"/>
    </row>
    <row r="162" spans="1:9" x14ac:dyDescent="0.2">
      <c r="A162" s="1" t="s">
        <v>368</v>
      </c>
      <c r="B162" s="1" t="s">
        <v>155</v>
      </c>
      <c r="C162" s="1">
        <v>554738291</v>
      </c>
      <c r="D162" s="1" t="s">
        <v>154</v>
      </c>
      <c r="E162" s="15">
        <v>81109801257</v>
      </c>
      <c r="F162" s="2">
        <f>IFERROR(VLOOKUP(B162,M10B!B:W,22,FALSE),0)</f>
        <v>0</v>
      </c>
      <c r="G162" s="1">
        <f t="shared" si="7"/>
        <v>0</v>
      </c>
      <c r="I162" s="17"/>
    </row>
    <row r="163" spans="1:9" x14ac:dyDescent="0.2">
      <c r="A163" s="1" t="s">
        <v>368</v>
      </c>
      <c r="B163" s="1" t="s">
        <v>59</v>
      </c>
      <c r="C163" s="1">
        <v>554738283</v>
      </c>
      <c r="D163" s="1" t="s">
        <v>58</v>
      </c>
      <c r="E163" s="15">
        <v>81109801003</v>
      </c>
      <c r="F163" s="2">
        <f>IFERROR(VLOOKUP(B163,M10B!B:W,22,FALSE),0)</f>
        <v>0</v>
      </c>
      <c r="G163" s="1">
        <f t="shared" si="7"/>
        <v>0</v>
      </c>
      <c r="I163" s="17"/>
    </row>
    <row r="164" spans="1:9" x14ac:dyDescent="0.2">
      <c r="A164" s="1" t="s">
        <v>368</v>
      </c>
      <c r="B164" s="1" t="s">
        <v>184</v>
      </c>
      <c r="C164" s="1">
        <v>554738262</v>
      </c>
      <c r="D164" s="1" t="s">
        <v>183</v>
      </c>
      <c r="E164" s="15">
        <v>81109801243</v>
      </c>
      <c r="F164" s="2">
        <f>IFERROR(VLOOKUP(B164,M10B!B:W,22,FALSE),0)</f>
        <v>0</v>
      </c>
      <c r="G164" s="1">
        <f t="shared" si="7"/>
        <v>0</v>
      </c>
      <c r="I164" s="17"/>
    </row>
    <row r="165" spans="1:9" x14ac:dyDescent="0.2">
      <c r="A165" s="1" t="s">
        <v>368</v>
      </c>
      <c r="B165" s="1" t="s">
        <v>358</v>
      </c>
      <c r="C165" s="1">
        <v>554736954</v>
      </c>
      <c r="D165" s="12" t="s">
        <v>357</v>
      </c>
      <c r="E165" s="15">
        <v>81109801239</v>
      </c>
      <c r="F165" s="2">
        <f>IFERROR(VLOOKUP(B165,M10B!B:W,22,FALSE),0)</f>
        <v>0</v>
      </c>
      <c r="G165" s="1">
        <f t="shared" si="7"/>
        <v>0</v>
      </c>
      <c r="I165" s="17"/>
    </row>
    <row r="166" spans="1:9" x14ac:dyDescent="0.2">
      <c r="A166" s="1" t="s">
        <v>368</v>
      </c>
      <c r="B166" s="1" t="s">
        <v>214</v>
      </c>
      <c r="C166" s="1">
        <v>554738259</v>
      </c>
      <c r="D166" s="1" t="s">
        <v>213</v>
      </c>
      <c r="E166" s="15">
        <v>81109801222</v>
      </c>
      <c r="F166" s="2">
        <f>IFERROR(VLOOKUP(B166,M10B!B:W,22,FALSE),0)</f>
        <v>0</v>
      </c>
      <c r="G166" s="1">
        <f t="shared" si="7"/>
        <v>0</v>
      </c>
      <c r="I166" s="17"/>
    </row>
    <row r="167" spans="1:9" x14ac:dyDescent="0.2">
      <c r="A167" s="1" t="s">
        <v>368</v>
      </c>
      <c r="B167" s="1" t="s">
        <v>119</v>
      </c>
      <c r="C167" s="1">
        <v>554738247</v>
      </c>
      <c r="D167" s="1" t="s">
        <v>118</v>
      </c>
      <c r="E167" s="15">
        <v>81109801228</v>
      </c>
      <c r="F167" s="2">
        <f>IFERROR(VLOOKUP(B167,M10B!B:W,22,FALSE),0)</f>
        <v>0</v>
      </c>
      <c r="G167" s="1">
        <f t="shared" si="7"/>
        <v>0</v>
      </c>
      <c r="I167" s="17"/>
    </row>
    <row r="168" spans="1:9" x14ac:dyDescent="0.2">
      <c r="A168" s="1" t="s">
        <v>368</v>
      </c>
      <c r="B168" s="1" t="s">
        <v>245</v>
      </c>
      <c r="C168" s="1">
        <v>554726984</v>
      </c>
      <c r="D168" s="1" t="s">
        <v>244</v>
      </c>
      <c r="E168" s="15">
        <v>81109801270</v>
      </c>
      <c r="F168" s="2">
        <f>IFERROR(VLOOKUP(B168,M10B!B:W,22,FALSE),0)</f>
        <v>0</v>
      </c>
      <c r="G168" s="1">
        <f t="shared" si="7"/>
        <v>0</v>
      </c>
      <c r="I168" s="17"/>
    </row>
    <row r="169" spans="1:9" x14ac:dyDescent="0.2">
      <c r="A169" s="1" t="s">
        <v>368</v>
      </c>
      <c r="B169" s="1" t="s">
        <v>196</v>
      </c>
      <c r="C169" s="1">
        <v>554040401</v>
      </c>
      <c r="D169" s="1" t="s">
        <v>195</v>
      </c>
      <c r="E169" s="15">
        <v>81109801280</v>
      </c>
      <c r="F169" s="2">
        <f>IFERROR(VLOOKUP(B169,M10B!B:W,22,FALSE),0)</f>
        <v>0</v>
      </c>
      <c r="G169" s="1">
        <f t="shared" si="7"/>
        <v>0</v>
      </c>
      <c r="I169" s="17"/>
    </row>
    <row r="170" spans="1:9" x14ac:dyDescent="0.2">
      <c r="A170" s="1" t="s">
        <v>368</v>
      </c>
      <c r="B170" s="1" t="s">
        <v>224</v>
      </c>
      <c r="C170" s="1">
        <v>554040304</v>
      </c>
      <c r="D170" s="1" t="s">
        <v>223</v>
      </c>
      <c r="E170" s="15">
        <v>81109801264</v>
      </c>
      <c r="F170" s="2">
        <f>IFERROR(VLOOKUP(B170,M10B!B:W,22,FALSE),0)</f>
        <v>0</v>
      </c>
      <c r="G170" s="1">
        <f t="shared" si="7"/>
        <v>0</v>
      </c>
      <c r="I170" s="17"/>
    </row>
    <row r="171" spans="1:9" x14ac:dyDescent="0.2">
      <c r="A171" s="1" t="s">
        <v>368</v>
      </c>
      <c r="B171" s="1" t="s">
        <v>231</v>
      </c>
      <c r="C171" s="1">
        <v>554726983</v>
      </c>
      <c r="D171" s="1" t="s">
        <v>230</v>
      </c>
      <c r="E171" s="15">
        <v>81109801256</v>
      </c>
      <c r="F171" s="2">
        <f>IFERROR(VLOOKUP(B171,M10B!B:W,22,FALSE),0)</f>
        <v>0</v>
      </c>
      <c r="G171" s="1">
        <f t="shared" si="7"/>
        <v>0</v>
      </c>
      <c r="I171" s="17"/>
    </row>
    <row r="172" spans="1:9" x14ac:dyDescent="0.2">
      <c r="A172" s="1" t="s">
        <v>368</v>
      </c>
      <c r="B172" s="1" t="s">
        <v>35</v>
      </c>
      <c r="C172" s="1">
        <v>554726966</v>
      </c>
      <c r="D172" s="1" t="s">
        <v>34</v>
      </c>
      <c r="E172" s="15">
        <v>81109801220</v>
      </c>
      <c r="F172" s="2">
        <f>IFERROR(VLOOKUP(B172,M10B!B:W,22,FALSE),0)</f>
        <v>0</v>
      </c>
      <c r="G172" s="1">
        <f t="shared" si="7"/>
        <v>0</v>
      </c>
      <c r="I172" s="17"/>
    </row>
    <row r="173" spans="1:9" x14ac:dyDescent="0.2">
      <c r="A173" s="1" t="s">
        <v>368</v>
      </c>
      <c r="B173" s="1" t="s">
        <v>57</v>
      </c>
      <c r="C173" s="1">
        <v>554726936</v>
      </c>
      <c r="D173" s="1" t="s">
        <v>56</v>
      </c>
      <c r="E173" s="15">
        <v>81109801242</v>
      </c>
      <c r="F173" s="2">
        <f>IFERROR(VLOOKUP(B173,M10B!B:W,22,FALSE),0)</f>
        <v>0</v>
      </c>
      <c r="G173" s="1">
        <f t="shared" si="7"/>
        <v>0</v>
      </c>
      <c r="I173" s="17"/>
    </row>
    <row r="174" spans="1:9" x14ac:dyDescent="0.2">
      <c r="A174" s="1" t="s">
        <v>368</v>
      </c>
      <c r="B174" s="1" t="s">
        <v>29</v>
      </c>
      <c r="C174" s="1">
        <v>554726919</v>
      </c>
      <c r="D174" s="1" t="s">
        <v>28</v>
      </c>
      <c r="E174" s="15">
        <v>81109801284</v>
      </c>
      <c r="F174" s="2">
        <f>IFERROR(VLOOKUP(B174,M10B!B:W,22,FALSE),0)</f>
        <v>0</v>
      </c>
      <c r="G174" s="1">
        <f t="shared" si="7"/>
        <v>0</v>
      </c>
      <c r="I174" s="17"/>
    </row>
    <row r="175" spans="1:9" x14ac:dyDescent="0.2">
      <c r="A175" s="1" t="s">
        <v>368</v>
      </c>
      <c r="B175" s="1" t="s">
        <v>157</v>
      </c>
      <c r="C175" s="1">
        <v>554726883</v>
      </c>
      <c r="D175" s="1" t="s">
        <v>156</v>
      </c>
      <c r="E175" s="15">
        <v>81109801223</v>
      </c>
      <c r="F175" s="2">
        <f>IFERROR(VLOOKUP(B175,M10B!B:W,22,FALSE),0)</f>
        <v>0</v>
      </c>
      <c r="G175" s="1">
        <f t="shared" si="7"/>
        <v>0</v>
      </c>
      <c r="I175" s="17"/>
    </row>
    <row r="176" spans="1:9" x14ac:dyDescent="0.2">
      <c r="A176" s="1" t="s">
        <v>368</v>
      </c>
      <c r="B176" s="1" t="s">
        <v>137</v>
      </c>
      <c r="C176" s="1">
        <v>554726699</v>
      </c>
      <c r="D176" s="1" t="s">
        <v>136</v>
      </c>
      <c r="E176" s="15">
        <v>81109801224</v>
      </c>
      <c r="F176" s="2">
        <f>IFERROR(VLOOKUP(B176,M10B!B:W,22,FALSE),0)</f>
        <v>0</v>
      </c>
      <c r="G176" s="1">
        <f t="shared" si="7"/>
        <v>0</v>
      </c>
      <c r="I176" s="17"/>
    </row>
    <row r="177" spans="1:9" x14ac:dyDescent="0.2">
      <c r="A177" s="1" t="s">
        <v>368</v>
      </c>
      <c r="B177" s="1" t="s">
        <v>247</v>
      </c>
      <c r="C177" s="1">
        <v>554726641</v>
      </c>
      <c r="D177" s="1" t="s">
        <v>246</v>
      </c>
      <c r="E177" s="15">
        <v>81109801249</v>
      </c>
      <c r="F177" s="2">
        <f>IFERROR(VLOOKUP(B177,M10B!B:W,22,FALSE),0)</f>
        <v>0</v>
      </c>
      <c r="G177" s="1">
        <f t="shared" si="7"/>
        <v>0</v>
      </c>
      <c r="I177" s="17"/>
    </row>
    <row r="178" spans="1:9" x14ac:dyDescent="0.2">
      <c r="A178" s="1" t="s">
        <v>368</v>
      </c>
      <c r="B178" s="1" t="s">
        <v>115</v>
      </c>
      <c r="C178" s="1">
        <v>554726560</v>
      </c>
      <c r="D178" s="1" t="s">
        <v>114</v>
      </c>
      <c r="E178" s="15">
        <v>81109801237</v>
      </c>
      <c r="F178" s="2">
        <f>IFERROR(VLOOKUP(B178,M10B!B:W,22,FALSE),0)</f>
        <v>0</v>
      </c>
      <c r="G178" s="1">
        <f t="shared" si="7"/>
        <v>0</v>
      </c>
      <c r="I178" s="17"/>
    </row>
    <row r="179" spans="1:9" x14ac:dyDescent="0.2">
      <c r="A179" s="1" t="s">
        <v>368</v>
      </c>
      <c r="B179" s="1" t="s">
        <v>210</v>
      </c>
      <c r="C179" s="1">
        <v>554726356</v>
      </c>
      <c r="D179" s="1" t="s">
        <v>209</v>
      </c>
      <c r="E179" s="15">
        <v>81109801253</v>
      </c>
      <c r="F179" s="2">
        <f>IFERROR(VLOOKUP(B179,M10B!B:W,22,FALSE),0)</f>
        <v>0</v>
      </c>
      <c r="G179" s="1">
        <f t="shared" si="7"/>
        <v>0</v>
      </c>
      <c r="I179" s="17"/>
    </row>
    <row r="180" spans="1:9" x14ac:dyDescent="0.2">
      <c r="A180" s="1" t="s">
        <v>368</v>
      </c>
      <c r="B180" s="1" t="s">
        <v>87</v>
      </c>
      <c r="C180" s="1">
        <v>554726163</v>
      </c>
      <c r="D180" s="1" t="s">
        <v>86</v>
      </c>
      <c r="E180" s="15">
        <v>81109801286</v>
      </c>
      <c r="F180" s="2">
        <f>IFERROR(VLOOKUP(B180,M10B!B:W,22,FALSE),0)</f>
        <v>0</v>
      </c>
      <c r="G180" s="1">
        <f t="shared" si="7"/>
        <v>0</v>
      </c>
      <c r="I180" s="17"/>
    </row>
    <row r="181" spans="1:9" x14ac:dyDescent="0.2">
      <c r="A181" s="1" t="s">
        <v>521</v>
      </c>
      <c r="B181" s="1" t="s">
        <v>512</v>
      </c>
      <c r="C181" s="1">
        <v>558137572</v>
      </c>
      <c r="D181" s="1" t="s">
        <v>511</v>
      </c>
      <c r="E181" s="15">
        <v>81446902760</v>
      </c>
      <c r="F181" s="2">
        <f>IFERROR(VLOOKUP(B181,M10B!B:W,22,FALSE),0)</f>
        <v>0</v>
      </c>
      <c r="G181" s="1">
        <f t="shared" si="7"/>
        <v>0</v>
      </c>
      <c r="I181" s="17"/>
    </row>
    <row r="182" spans="1:9" x14ac:dyDescent="0.2">
      <c r="A182" s="1" t="s">
        <v>521</v>
      </c>
      <c r="B182" s="1" t="s">
        <v>514</v>
      </c>
      <c r="C182" s="1">
        <v>558137576</v>
      </c>
      <c r="D182" s="1" t="s">
        <v>513</v>
      </c>
      <c r="E182" s="15">
        <v>81446902772</v>
      </c>
      <c r="F182" s="2">
        <f>IFERROR(VLOOKUP(B182,M10B!B:W,22,FALSE),0)</f>
        <v>0</v>
      </c>
      <c r="G182" s="1">
        <f t="shared" si="7"/>
        <v>0</v>
      </c>
      <c r="I182" s="17"/>
    </row>
    <row r="183" spans="1:9" x14ac:dyDescent="0.2">
      <c r="A183" s="1" t="s">
        <v>521</v>
      </c>
      <c r="B183" s="1" t="s">
        <v>516</v>
      </c>
      <c r="C183" s="1">
        <v>558137573</v>
      </c>
      <c r="D183" s="1" t="s">
        <v>515</v>
      </c>
      <c r="E183" s="15">
        <v>81446902768</v>
      </c>
      <c r="F183" s="2">
        <f>IFERROR(VLOOKUP(B183,M10B!B:W,22,FALSE),0)</f>
        <v>0</v>
      </c>
      <c r="G183" s="1">
        <f t="shared" si="7"/>
        <v>0</v>
      </c>
      <c r="I183" s="17"/>
    </row>
    <row r="184" spans="1:9" x14ac:dyDescent="0.2">
      <c r="A184" s="1" t="s">
        <v>521</v>
      </c>
      <c r="B184" s="1" t="s">
        <v>518</v>
      </c>
      <c r="C184" s="1">
        <v>558137571</v>
      </c>
      <c r="D184" s="1" t="s">
        <v>517</v>
      </c>
      <c r="E184" s="15">
        <v>81446902762</v>
      </c>
      <c r="F184" s="2">
        <f>IFERROR(VLOOKUP(B184,M10B!B:W,22,FALSE),0)</f>
        <v>0</v>
      </c>
      <c r="G184" s="1">
        <f t="shared" si="7"/>
        <v>0</v>
      </c>
      <c r="I184" s="17"/>
    </row>
    <row r="185" spans="1:9" x14ac:dyDescent="0.2">
      <c r="A185" s="1" t="s">
        <v>521</v>
      </c>
      <c r="B185" s="1" t="s">
        <v>520</v>
      </c>
      <c r="C185" s="1">
        <v>558137575</v>
      </c>
      <c r="D185" s="1" t="s">
        <v>519</v>
      </c>
      <c r="E185" s="15">
        <v>81446902764</v>
      </c>
      <c r="F185" s="2">
        <f>IFERROR(VLOOKUP(B185,M10B!B:W,22,FALSE),0)</f>
        <v>0</v>
      </c>
      <c r="G185" s="1">
        <f t="shared" si="7"/>
        <v>0</v>
      </c>
      <c r="I185" s="17"/>
    </row>
    <row r="186" spans="1:9" x14ac:dyDescent="0.2">
      <c r="A186" s="1" t="s">
        <v>369</v>
      </c>
      <c r="B186" s="1" t="s">
        <v>81</v>
      </c>
      <c r="C186" s="1">
        <v>554715479</v>
      </c>
      <c r="D186" s="1" t="s">
        <v>80</v>
      </c>
      <c r="E186" s="15">
        <v>81109801089</v>
      </c>
      <c r="F186" s="2">
        <f>IFERROR(VLOOKUP(B186,M10B!B:W,22,FALSE),0)</f>
        <v>0</v>
      </c>
      <c r="G186" s="1">
        <f t="shared" si="7"/>
        <v>0</v>
      </c>
      <c r="I186" s="17"/>
    </row>
    <row r="187" spans="1:9" x14ac:dyDescent="0.2">
      <c r="A187" s="1" t="s">
        <v>369</v>
      </c>
      <c r="B187" s="1" t="s">
        <v>202</v>
      </c>
      <c r="C187" s="1">
        <v>554715477</v>
      </c>
      <c r="D187" s="1" t="s">
        <v>201</v>
      </c>
      <c r="E187" s="15">
        <v>81109801107</v>
      </c>
      <c r="F187" s="2">
        <f>IFERROR(VLOOKUP(B187,M10B!B:W,22,FALSE),0)</f>
        <v>0</v>
      </c>
      <c r="G187" s="1">
        <f t="shared" si="7"/>
        <v>0</v>
      </c>
      <c r="I187" s="17"/>
    </row>
    <row r="188" spans="1:9" x14ac:dyDescent="0.2">
      <c r="A188" s="1" t="s">
        <v>369</v>
      </c>
      <c r="B188" s="1" t="s">
        <v>172</v>
      </c>
      <c r="C188" s="1">
        <v>554715476</v>
      </c>
      <c r="D188" s="1" t="s">
        <v>171</v>
      </c>
      <c r="E188" s="15">
        <v>81109801055</v>
      </c>
      <c r="F188" s="2">
        <f>IFERROR(VLOOKUP(B188,M10B!B:W,22,FALSE),0)</f>
        <v>0</v>
      </c>
      <c r="G188" s="1">
        <f t="shared" si="7"/>
        <v>0</v>
      </c>
      <c r="I188" s="17"/>
    </row>
    <row r="189" spans="1:9" x14ac:dyDescent="0.2">
      <c r="A189" s="1" t="s">
        <v>369</v>
      </c>
      <c r="B189" s="1" t="s">
        <v>208</v>
      </c>
      <c r="C189" s="1">
        <v>554714737</v>
      </c>
      <c r="D189" s="1" t="s">
        <v>207</v>
      </c>
      <c r="E189" s="15">
        <v>81109801090</v>
      </c>
      <c r="F189" s="2">
        <f>IFERROR(VLOOKUP(B189,M10B!B:W,22,FALSE),0)</f>
        <v>0</v>
      </c>
      <c r="G189" s="1">
        <f t="shared" si="7"/>
        <v>0</v>
      </c>
      <c r="I189" s="17"/>
    </row>
    <row r="190" spans="1:9" x14ac:dyDescent="0.2">
      <c r="A190" s="1" t="s">
        <v>369</v>
      </c>
      <c r="B190" s="1" t="s">
        <v>79</v>
      </c>
      <c r="C190" s="1">
        <v>554737610</v>
      </c>
      <c r="D190" s="1" t="s">
        <v>78</v>
      </c>
      <c r="E190" s="15">
        <v>81109801018</v>
      </c>
      <c r="F190" s="2">
        <f>IFERROR(VLOOKUP(B190,M10B!B:W,22,FALSE),0)</f>
        <v>0</v>
      </c>
      <c r="G190" s="1">
        <f t="shared" si="7"/>
        <v>0</v>
      </c>
      <c r="I190" s="17"/>
    </row>
    <row r="191" spans="1:9" x14ac:dyDescent="0.2">
      <c r="A191" s="1" t="s">
        <v>369</v>
      </c>
      <c r="B191" s="1" t="s">
        <v>47</v>
      </c>
      <c r="C191" s="1">
        <v>554737658</v>
      </c>
      <c r="D191" s="1" t="s">
        <v>46</v>
      </c>
      <c r="E191" s="15">
        <v>81109801067</v>
      </c>
      <c r="F191" s="2">
        <f>IFERROR(VLOOKUP(B191,M10B!B:W,22,FALSE),0)</f>
        <v>0</v>
      </c>
      <c r="G191" s="1">
        <f t="shared" si="7"/>
        <v>0</v>
      </c>
      <c r="I191" s="17"/>
    </row>
    <row r="192" spans="1:9" x14ac:dyDescent="0.2">
      <c r="A192" s="1" t="s">
        <v>369</v>
      </c>
      <c r="B192" s="1" t="s">
        <v>198</v>
      </c>
      <c r="C192" s="1">
        <v>554737707</v>
      </c>
      <c r="D192" s="1" t="s">
        <v>197</v>
      </c>
      <c r="E192" s="15">
        <v>81109801040</v>
      </c>
      <c r="F192" s="2">
        <f>IFERROR(VLOOKUP(B192,M10B!B:W,22,FALSE),0)</f>
        <v>0</v>
      </c>
      <c r="G192" s="1">
        <f t="shared" si="7"/>
        <v>0</v>
      </c>
      <c r="I192" s="17"/>
    </row>
    <row r="193" spans="1:9" x14ac:dyDescent="0.2">
      <c r="A193" s="1" t="s">
        <v>369</v>
      </c>
      <c r="B193" s="1" t="s">
        <v>296</v>
      </c>
      <c r="C193" s="1">
        <v>554737764</v>
      </c>
      <c r="D193" s="1" t="s">
        <v>295</v>
      </c>
      <c r="E193" s="15">
        <v>81109801101</v>
      </c>
      <c r="F193" s="2">
        <f>IFERROR(VLOOKUP(B193,M10B!B:W,22,FALSE),0)</f>
        <v>0</v>
      </c>
      <c r="G193" s="1">
        <f t="shared" ref="G193:G224" si="8">CEILING(F193,576)</f>
        <v>0</v>
      </c>
      <c r="I193" s="17"/>
    </row>
    <row r="194" spans="1:9" x14ac:dyDescent="0.2">
      <c r="A194" s="1" t="s">
        <v>369</v>
      </c>
      <c r="B194" s="1" t="s">
        <v>188</v>
      </c>
      <c r="C194" s="1">
        <v>554737785</v>
      </c>
      <c r="D194" s="1" t="s">
        <v>187</v>
      </c>
      <c r="E194" s="15">
        <v>81109801102</v>
      </c>
      <c r="F194" s="2">
        <f>IFERROR(VLOOKUP(B194,M10B!B:W,22,FALSE),0)</f>
        <v>0</v>
      </c>
      <c r="G194" s="1">
        <f t="shared" si="8"/>
        <v>0</v>
      </c>
      <c r="I194" s="17"/>
    </row>
    <row r="195" spans="1:9" x14ac:dyDescent="0.2">
      <c r="A195" s="1" t="s">
        <v>369</v>
      </c>
      <c r="B195" s="1" t="s">
        <v>292</v>
      </c>
      <c r="C195" s="1">
        <v>554737809</v>
      </c>
      <c r="D195" s="1" t="s">
        <v>291</v>
      </c>
      <c r="E195" s="15">
        <v>81109801092</v>
      </c>
      <c r="F195" s="2">
        <f>IFERROR(VLOOKUP(B195,M10B!B:W,22,FALSE),0)</f>
        <v>0</v>
      </c>
      <c r="G195" s="1">
        <f t="shared" si="8"/>
        <v>0</v>
      </c>
      <c r="I195" s="17"/>
    </row>
    <row r="196" spans="1:9" x14ac:dyDescent="0.2">
      <c r="A196" s="1" t="s">
        <v>369</v>
      </c>
      <c r="B196" s="1" t="s">
        <v>194</v>
      </c>
      <c r="C196" s="1">
        <v>554737826</v>
      </c>
      <c r="D196" s="12" t="s">
        <v>193</v>
      </c>
      <c r="E196" s="15">
        <v>81109801097</v>
      </c>
      <c r="F196" s="2">
        <f>IFERROR(VLOOKUP(B196,M10B!B:W,22,FALSE),0)</f>
        <v>0</v>
      </c>
      <c r="G196" s="1">
        <f t="shared" si="8"/>
        <v>0</v>
      </c>
      <c r="I196" s="17"/>
    </row>
    <row r="197" spans="1:9" x14ac:dyDescent="0.2">
      <c r="A197" s="1" t="s">
        <v>369</v>
      </c>
      <c r="B197" s="1" t="s">
        <v>280</v>
      </c>
      <c r="C197" s="1">
        <v>554737850</v>
      </c>
      <c r="D197" s="1" t="s">
        <v>279</v>
      </c>
      <c r="E197" s="15">
        <v>81109801068</v>
      </c>
      <c r="F197" s="2">
        <f>IFERROR(VLOOKUP(B197,M10B!B:W,22,FALSE),0)</f>
        <v>0</v>
      </c>
      <c r="G197" s="1">
        <f t="shared" si="8"/>
        <v>0</v>
      </c>
      <c r="I197" s="17"/>
    </row>
    <row r="198" spans="1:9" x14ac:dyDescent="0.2">
      <c r="A198" s="1" t="s">
        <v>369</v>
      </c>
      <c r="B198" s="1" t="s">
        <v>93</v>
      </c>
      <c r="C198" s="1">
        <v>554737851</v>
      </c>
      <c r="D198" s="1" t="s">
        <v>92</v>
      </c>
      <c r="E198" s="15">
        <v>81109801111</v>
      </c>
      <c r="F198" s="2">
        <f>IFERROR(VLOOKUP(B198,M10B!B:W,22,FALSE),0)</f>
        <v>0</v>
      </c>
      <c r="G198" s="1">
        <f t="shared" si="8"/>
        <v>0</v>
      </c>
      <c r="I198" s="17"/>
    </row>
    <row r="199" spans="1:9" x14ac:dyDescent="0.2">
      <c r="A199" s="1" t="s">
        <v>369</v>
      </c>
      <c r="B199" s="1" t="s">
        <v>37</v>
      </c>
      <c r="C199" s="1">
        <v>554737858</v>
      </c>
      <c r="D199" s="1" t="s">
        <v>36</v>
      </c>
      <c r="E199" s="15">
        <v>81109801023</v>
      </c>
      <c r="F199" s="2">
        <f>IFERROR(VLOOKUP(B199,M10B!B:W,22,FALSE),0)</f>
        <v>0</v>
      </c>
      <c r="G199" s="1">
        <f t="shared" si="8"/>
        <v>0</v>
      </c>
      <c r="I199" s="17"/>
    </row>
    <row r="200" spans="1:9" x14ac:dyDescent="0.2">
      <c r="A200" s="1" t="s">
        <v>369</v>
      </c>
      <c r="B200" s="1" t="s">
        <v>41</v>
      </c>
      <c r="C200" s="1">
        <v>554737862</v>
      </c>
      <c r="D200" s="1" t="s">
        <v>40</v>
      </c>
      <c r="E200" s="15">
        <v>81109801291</v>
      </c>
      <c r="F200" s="2">
        <f>IFERROR(VLOOKUP(B200,M10B!B:W,22,FALSE),0)</f>
        <v>0</v>
      </c>
      <c r="G200" s="1">
        <f t="shared" si="8"/>
        <v>0</v>
      </c>
      <c r="I200" s="17"/>
    </row>
    <row r="201" spans="1:9" x14ac:dyDescent="0.2">
      <c r="A201" s="1" t="s">
        <v>369</v>
      </c>
      <c r="B201" s="1" t="s">
        <v>314</v>
      </c>
      <c r="C201" s="1">
        <v>554737868</v>
      </c>
      <c r="D201" s="1" t="s">
        <v>313</v>
      </c>
      <c r="E201" s="15">
        <v>81109801093</v>
      </c>
      <c r="F201" s="2">
        <f>IFERROR(VLOOKUP(B201,M10B!B:W,22,FALSE),0)</f>
        <v>0</v>
      </c>
      <c r="G201" s="1">
        <f t="shared" si="8"/>
        <v>0</v>
      </c>
      <c r="I201" s="17"/>
    </row>
    <row r="202" spans="1:9" x14ac:dyDescent="0.2">
      <c r="A202" s="1" t="s">
        <v>369</v>
      </c>
      <c r="B202" s="1" t="s">
        <v>182</v>
      </c>
      <c r="C202" s="1">
        <v>554737884</v>
      </c>
      <c r="D202" s="1" t="s">
        <v>181</v>
      </c>
      <c r="E202" s="15">
        <v>81109801283</v>
      </c>
      <c r="F202" s="2">
        <f>IFERROR(VLOOKUP(B202,M10B!B:W,22,FALSE),0)</f>
        <v>0</v>
      </c>
      <c r="G202" s="1">
        <f t="shared" si="8"/>
        <v>0</v>
      </c>
      <c r="I202" s="17"/>
    </row>
    <row r="203" spans="1:9" x14ac:dyDescent="0.2">
      <c r="A203" s="1" t="s">
        <v>369</v>
      </c>
      <c r="B203" s="1" t="s">
        <v>218</v>
      </c>
      <c r="C203" s="1">
        <v>554737890</v>
      </c>
      <c r="D203" s="1" t="s">
        <v>217</v>
      </c>
      <c r="E203" s="15">
        <v>81109801096</v>
      </c>
      <c r="F203" s="2">
        <f>IFERROR(VLOOKUP(B203,M10B!B:W,22,FALSE),0)</f>
        <v>0</v>
      </c>
      <c r="G203" s="1">
        <f t="shared" si="8"/>
        <v>0</v>
      </c>
      <c r="I203" s="17"/>
    </row>
    <row r="204" spans="1:9" x14ac:dyDescent="0.2">
      <c r="A204" s="1" t="s">
        <v>369</v>
      </c>
      <c r="B204" s="1" t="s">
        <v>49</v>
      </c>
      <c r="C204" s="1">
        <v>554737893</v>
      </c>
      <c r="D204" s="1" t="s">
        <v>48</v>
      </c>
      <c r="E204" s="15">
        <v>81109801008</v>
      </c>
      <c r="F204" s="2">
        <f>IFERROR(VLOOKUP(B204,M10B!B:W,22,FALSE),0)</f>
        <v>0</v>
      </c>
      <c r="G204" s="1">
        <f t="shared" si="8"/>
        <v>0</v>
      </c>
      <c r="I204" s="17"/>
    </row>
    <row r="205" spans="1:9" x14ac:dyDescent="0.2">
      <c r="A205" s="1" t="s">
        <v>369</v>
      </c>
      <c r="B205" s="1" t="s">
        <v>33</v>
      </c>
      <c r="C205" s="1">
        <v>554737895</v>
      </c>
      <c r="D205" s="1" t="s">
        <v>32</v>
      </c>
      <c r="E205" s="15">
        <v>81109801229</v>
      </c>
      <c r="F205" s="2">
        <f>IFERROR(VLOOKUP(B205,M10B!B:W,22,FALSE),0)</f>
        <v>0</v>
      </c>
      <c r="G205" s="1">
        <f t="shared" si="8"/>
        <v>0</v>
      </c>
      <c r="I205" s="17"/>
    </row>
    <row r="206" spans="1:9" x14ac:dyDescent="0.2">
      <c r="A206" s="1" t="s">
        <v>369</v>
      </c>
      <c r="B206" s="1" t="s">
        <v>109</v>
      </c>
      <c r="C206" s="1">
        <v>554737897</v>
      </c>
      <c r="D206" s="1" t="s">
        <v>108</v>
      </c>
      <c r="E206" s="15">
        <v>81109801106</v>
      </c>
      <c r="F206" s="2">
        <f>IFERROR(VLOOKUP(B206,M10B!B:W,22,FALSE),0)</f>
        <v>0</v>
      </c>
      <c r="G206" s="1">
        <f t="shared" si="8"/>
        <v>0</v>
      </c>
      <c r="I206" s="17"/>
    </row>
    <row r="207" spans="1:9" x14ac:dyDescent="0.2">
      <c r="A207" s="1" t="s">
        <v>369</v>
      </c>
      <c r="B207" s="1" t="s">
        <v>27</v>
      </c>
      <c r="C207" s="1">
        <v>554737898</v>
      </c>
      <c r="D207" s="1" t="s">
        <v>26</v>
      </c>
      <c r="E207" s="15">
        <v>81109801029</v>
      </c>
      <c r="F207" s="2">
        <f>IFERROR(VLOOKUP(B207,M10B!B:W,22,FALSE),0)</f>
        <v>0</v>
      </c>
      <c r="G207" s="1">
        <f t="shared" si="8"/>
        <v>0</v>
      </c>
      <c r="I207" s="17"/>
    </row>
    <row r="208" spans="1:9" x14ac:dyDescent="0.2">
      <c r="A208" s="1" t="s">
        <v>369</v>
      </c>
      <c r="B208" s="1" t="s">
        <v>45</v>
      </c>
      <c r="C208" s="1">
        <v>554737899</v>
      </c>
      <c r="D208" s="1" t="s">
        <v>44</v>
      </c>
      <c r="E208" s="15">
        <v>81109801098</v>
      </c>
      <c r="F208" s="2">
        <f>IFERROR(VLOOKUP(B208,M10B!B:W,22,FALSE),0)</f>
        <v>0</v>
      </c>
      <c r="G208" s="1">
        <f t="shared" si="8"/>
        <v>0</v>
      </c>
      <c r="I208" s="17"/>
    </row>
    <row r="209" spans="1:9" x14ac:dyDescent="0.2">
      <c r="A209" s="1" t="s">
        <v>369</v>
      </c>
      <c r="B209" s="1" t="s">
        <v>31</v>
      </c>
      <c r="C209" s="1">
        <v>554737906</v>
      </c>
      <c r="D209" s="1" t="s">
        <v>30</v>
      </c>
      <c r="E209" s="15">
        <v>81109801105</v>
      </c>
      <c r="F209" s="2">
        <f>IFERROR(VLOOKUP(B209,M10B!B:W,22,FALSE),0)</f>
        <v>0</v>
      </c>
      <c r="G209" s="1">
        <f t="shared" si="8"/>
        <v>0</v>
      </c>
      <c r="I209" s="17"/>
    </row>
    <row r="210" spans="1:9" x14ac:dyDescent="0.2">
      <c r="A210" s="1" t="s">
        <v>369</v>
      </c>
      <c r="B210" s="1" t="s">
        <v>63</v>
      </c>
      <c r="C210" s="1">
        <v>554737910</v>
      </c>
      <c r="D210" s="1" t="s">
        <v>62</v>
      </c>
      <c r="E210" s="15">
        <v>81109801095</v>
      </c>
      <c r="F210" s="2">
        <f>IFERROR(VLOOKUP(B210,M10B!B:W,22,FALSE),0)</f>
        <v>0</v>
      </c>
      <c r="G210" s="1">
        <f t="shared" si="8"/>
        <v>0</v>
      </c>
      <c r="I210" s="17"/>
    </row>
    <row r="211" spans="1:9" x14ac:dyDescent="0.2">
      <c r="A211" s="1" t="s">
        <v>369</v>
      </c>
      <c r="B211" s="1" t="s">
        <v>77</v>
      </c>
      <c r="C211" s="1">
        <v>554737934</v>
      </c>
      <c r="D211" s="1" t="s">
        <v>76</v>
      </c>
      <c r="E211" s="15">
        <v>81109801091</v>
      </c>
      <c r="F211" s="2">
        <f>IFERROR(VLOOKUP(B211,M10B!B:W,22,FALSE),0)</f>
        <v>0</v>
      </c>
      <c r="G211" s="1">
        <f t="shared" si="8"/>
        <v>0</v>
      </c>
      <c r="I211" s="17"/>
    </row>
    <row r="212" spans="1:9" x14ac:dyDescent="0.2">
      <c r="A212" s="1" t="s">
        <v>369</v>
      </c>
      <c r="B212" s="1" t="s">
        <v>39</v>
      </c>
      <c r="C212" s="1">
        <v>554737950</v>
      </c>
      <c r="D212" s="1" t="s">
        <v>38</v>
      </c>
      <c r="E212" s="15">
        <v>81109801246</v>
      </c>
      <c r="F212" s="2">
        <f>IFERROR(VLOOKUP(B212,M10B!B:W,22,FALSE),0)</f>
        <v>0</v>
      </c>
      <c r="G212" s="1">
        <f t="shared" si="8"/>
        <v>0</v>
      </c>
      <c r="I212" s="17"/>
    </row>
    <row r="213" spans="1:9" x14ac:dyDescent="0.2">
      <c r="A213" s="1" t="s">
        <v>369</v>
      </c>
      <c r="B213" s="1" t="s">
        <v>259</v>
      </c>
      <c r="C213" s="1">
        <v>554738014</v>
      </c>
      <c r="D213" s="1" t="s">
        <v>258</v>
      </c>
      <c r="E213" s="15">
        <v>81109801025</v>
      </c>
      <c r="F213" s="2">
        <f>IFERROR(VLOOKUP(B213,M10B!B:W,22,FALSE),0)</f>
        <v>0</v>
      </c>
      <c r="G213" s="1">
        <f t="shared" si="8"/>
        <v>0</v>
      </c>
      <c r="I213" s="17"/>
    </row>
    <row r="214" spans="1:9" x14ac:dyDescent="0.2">
      <c r="A214" s="1" t="s">
        <v>369</v>
      </c>
      <c r="B214" s="1" t="s">
        <v>69</v>
      </c>
      <c r="C214" s="1">
        <v>554786360</v>
      </c>
      <c r="D214" s="1" t="s">
        <v>68</v>
      </c>
      <c r="E214" s="15">
        <v>81109801245</v>
      </c>
      <c r="F214" s="2">
        <f>IFERROR(VLOOKUP(B214,M10B!B:W,22,FALSE),0)</f>
        <v>0</v>
      </c>
      <c r="G214" s="1">
        <f t="shared" si="8"/>
        <v>0</v>
      </c>
      <c r="I214" s="17"/>
    </row>
    <row r="215" spans="1:9" x14ac:dyDescent="0.2">
      <c r="A215" s="1" t="s">
        <v>369</v>
      </c>
      <c r="B215" s="1" t="s">
        <v>53</v>
      </c>
      <c r="C215" s="1">
        <v>554738033</v>
      </c>
      <c r="D215" s="1" t="s">
        <v>52</v>
      </c>
      <c r="E215" s="15">
        <v>81109801217</v>
      </c>
      <c r="F215" s="2">
        <f>IFERROR(VLOOKUP(B215,M10B!B:W,22,FALSE),0)</f>
        <v>0</v>
      </c>
      <c r="G215" s="1">
        <f t="shared" si="8"/>
        <v>0</v>
      </c>
      <c r="I215" s="17"/>
    </row>
    <row r="216" spans="1:9" x14ac:dyDescent="0.2">
      <c r="A216" s="1" t="s">
        <v>369</v>
      </c>
      <c r="B216" s="1" t="s">
        <v>51</v>
      </c>
      <c r="C216" s="1">
        <v>554738051</v>
      </c>
      <c r="D216" s="1" t="s">
        <v>50</v>
      </c>
      <c r="E216" s="15">
        <v>81109801100</v>
      </c>
      <c r="F216" s="2">
        <f>IFERROR(VLOOKUP(B216,M10B!B:W,22,FALSE),0)</f>
        <v>0</v>
      </c>
      <c r="G216" s="1">
        <f t="shared" si="8"/>
        <v>0</v>
      </c>
      <c r="I216" s="17"/>
    </row>
    <row r="217" spans="1:9" x14ac:dyDescent="0.2">
      <c r="A217" s="1" t="s">
        <v>369</v>
      </c>
      <c r="B217" s="1" t="s">
        <v>75</v>
      </c>
      <c r="C217" s="1">
        <v>554738346</v>
      </c>
      <c r="D217" s="1" t="s">
        <v>74</v>
      </c>
      <c r="E217" s="15">
        <v>81109801298</v>
      </c>
      <c r="F217" s="2">
        <f>IFERROR(VLOOKUP(B217,M10B!B:W,22,FALSE),0)</f>
        <v>0</v>
      </c>
      <c r="G217" s="1">
        <f t="shared" si="8"/>
        <v>0</v>
      </c>
      <c r="I217" s="17"/>
    </row>
    <row r="218" spans="1:9" x14ac:dyDescent="0.2">
      <c r="A218" s="1" t="s">
        <v>369</v>
      </c>
      <c r="B218" s="1" t="s">
        <v>284</v>
      </c>
      <c r="C218" s="1">
        <v>554738349</v>
      </c>
      <c r="D218" s="1" t="s">
        <v>283</v>
      </c>
      <c r="E218" s="15">
        <v>81109801266</v>
      </c>
      <c r="F218" s="2">
        <f>IFERROR(VLOOKUP(B218,M10B!B:W,22,FALSE),0)</f>
        <v>0</v>
      </c>
      <c r="G218" s="1">
        <f t="shared" si="8"/>
        <v>0</v>
      </c>
      <c r="I218" s="17"/>
    </row>
    <row r="219" spans="1:9" x14ac:dyDescent="0.2">
      <c r="A219" s="1" t="s">
        <v>369</v>
      </c>
      <c r="B219" s="1" t="s">
        <v>239</v>
      </c>
      <c r="C219" s="1">
        <v>554738345</v>
      </c>
      <c r="D219" s="1" t="s">
        <v>238</v>
      </c>
      <c r="E219" s="15">
        <v>81109801099</v>
      </c>
      <c r="F219" s="2">
        <f>IFERROR(VLOOKUP(B219,M10B!B:W,22,FALSE),0)</f>
        <v>0</v>
      </c>
      <c r="G219" s="1">
        <f t="shared" si="8"/>
        <v>0</v>
      </c>
      <c r="I219" s="17"/>
    </row>
    <row r="220" spans="1:9" x14ac:dyDescent="0.2">
      <c r="A220" s="1" t="s">
        <v>369</v>
      </c>
      <c r="B220" s="1" t="s">
        <v>55</v>
      </c>
      <c r="C220" s="1">
        <v>554738341</v>
      </c>
      <c r="D220" s="1" t="s">
        <v>54</v>
      </c>
      <c r="E220" s="15">
        <v>81109801233</v>
      </c>
      <c r="F220" s="2">
        <f>IFERROR(VLOOKUP(B220,M10B!B:W,22,FALSE),0)</f>
        <v>0</v>
      </c>
      <c r="G220" s="1">
        <f t="shared" si="8"/>
        <v>0</v>
      </c>
      <c r="I220" s="17"/>
    </row>
    <row r="221" spans="1:9" x14ac:dyDescent="0.2">
      <c r="A221" s="1" t="s">
        <v>369</v>
      </c>
      <c r="B221" s="1" t="s">
        <v>61</v>
      </c>
      <c r="C221" s="1">
        <v>554738340</v>
      </c>
      <c r="D221" s="1" t="s">
        <v>60</v>
      </c>
      <c r="E221" s="15">
        <v>81109801285</v>
      </c>
      <c r="F221" s="2">
        <f>IFERROR(VLOOKUP(B221,M10B!B:W,22,FALSE),0)</f>
        <v>0</v>
      </c>
      <c r="G221" s="1">
        <f t="shared" si="8"/>
        <v>0</v>
      </c>
      <c r="I221" s="17"/>
    </row>
    <row r="222" spans="1:9" x14ac:dyDescent="0.2">
      <c r="A222" s="1" t="s">
        <v>369</v>
      </c>
      <c r="B222" s="1" t="s">
        <v>67</v>
      </c>
      <c r="C222" s="1">
        <v>554738338</v>
      </c>
      <c r="D222" s="1" t="s">
        <v>66</v>
      </c>
      <c r="E222" s="15">
        <v>81109801109</v>
      </c>
      <c r="F222" s="2">
        <f>IFERROR(VLOOKUP(B222,M10B!B:W,22,FALSE),0)</f>
        <v>0</v>
      </c>
      <c r="G222" s="1">
        <f t="shared" si="8"/>
        <v>0</v>
      </c>
      <c r="I222" s="17"/>
    </row>
    <row r="223" spans="1:9" x14ac:dyDescent="0.2">
      <c r="A223" s="1" t="s">
        <v>369</v>
      </c>
      <c r="B223" s="1" t="s">
        <v>43</v>
      </c>
      <c r="C223" s="1">
        <v>554738337</v>
      </c>
      <c r="D223" s="1" t="s">
        <v>42</v>
      </c>
      <c r="E223" s="15">
        <v>81109801062</v>
      </c>
      <c r="F223" s="2">
        <f>IFERROR(VLOOKUP(B223,M10B!B:W,22,FALSE),0)</f>
        <v>0</v>
      </c>
      <c r="G223" s="1">
        <f t="shared" si="8"/>
        <v>0</v>
      </c>
      <c r="I223" s="17"/>
    </row>
    <row r="224" spans="1:9" x14ac:dyDescent="0.2">
      <c r="A224" s="1" t="s">
        <v>369</v>
      </c>
      <c r="B224" s="1" t="s">
        <v>165</v>
      </c>
      <c r="C224" s="1">
        <v>554738335</v>
      </c>
      <c r="D224" s="1" t="s">
        <v>164</v>
      </c>
      <c r="E224" s="15">
        <v>81109801103</v>
      </c>
      <c r="F224" s="2">
        <f>IFERROR(VLOOKUP(B224,M10B!B:W,22,FALSE),0)</f>
        <v>0</v>
      </c>
      <c r="G224" s="1">
        <f t="shared" si="8"/>
        <v>0</v>
      </c>
      <c r="I224" s="17"/>
    </row>
    <row r="225" spans="1:9" x14ac:dyDescent="0.2">
      <c r="A225" s="1" t="s">
        <v>369</v>
      </c>
      <c r="B225" s="1" t="s">
        <v>65</v>
      </c>
      <c r="C225" s="1">
        <v>554738323</v>
      </c>
      <c r="D225" s="1" t="s">
        <v>64</v>
      </c>
      <c r="E225" s="15">
        <v>81109801002</v>
      </c>
      <c r="F225" s="2">
        <f>IFERROR(VLOOKUP(B225,M10B!B:W,22,FALSE),0)</f>
        <v>0</v>
      </c>
      <c r="G225" s="1">
        <f t="shared" ref="G225:G227" si="9">CEILING(F225,576)</f>
        <v>0</v>
      </c>
      <c r="I225" s="17"/>
    </row>
    <row r="226" spans="1:9" x14ac:dyDescent="0.2">
      <c r="A226" s="1" t="s">
        <v>369</v>
      </c>
      <c r="B226" s="1" t="s">
        <v>204</v>
      </c>
      <c r="C226" s="1">
        <v>554738322</v>
      </c>
      <c r="D226" s="1" t="s">
        <v>203</v>
      </c>
      <c r="E226" s="15">
        <v>81109801094</v>
      </c>
      <c r="F226" s="2">
        <f>IFERROR(VLOOKUP(B226,M10B!B:W,22,FALSE),0)</f>
        <v>0</v>
      </c>
      <c r="G226" s="1">
        <f t="shared" si="9"/>
        <v>0</v>
      </c>
      <c r="I226" s="17"/>
    </row>
    <row r="227" spans="1:9" x14ac:dyDescent="0.2">
      <c r="A227" s="1" t="s">
        <v>369</v>
      </c>
      <c r="B227" s="1" t="s">
        <v>73</v>
      </c>
      <c r="C227" s="1">
        <v>554738321</v>
      </c>
      <c r="D227" s="1" t="s">
        <v>72</v>
      </c>
      <c r="E227" s="15">
        <v>81109801056</v>
      </c>
      <c r="F227" s="2">
        <f>IFERROR(VLOOKUP(B227,M10B!B:W,22,FALSE),0)</f>
        <v>0</v>
      </c>
      <c r="G227" s="1">
        <f t="shared" si="9"/>
        <v>0</v>
      </c>
      <c r="I227" s="17"/>
    </row>
    <row r="228" spans="1:9" x14ac:dyDescent="0.2">
      <c r="A228" s="1" t="s">
        <v>410</v>
      </c>
      <c r="B228" s="1" t="s">
        <v>411</v>
      </c>
      <c r="C228" s="1">
        <v>555033514</v>
      </c>
      <c r="D228" s="1" t="s">
        <v>412</v>
      </c>
      <c r="E228" s="15">
        <v>81446902336</v>
      </c>
      <c r="F228" s="2">
        <f>IFERROR(VLOOKUP(B228,M10B!B:W,22,FALSE),0)</f>
        <v>0</v>
      </c>
      <c r="G228" s="1">
        <f t="shared" ref="G228:G259" si="10">CEILING(F228,80)</f>
        <v>0</v>
      </c>
      <c r="I228" s="17"/>
    </row>
    <row r="229" spans="1:9" x14ac:dyDescent="0.2">
      <c r="A229" s="1" t="s">
        <v>410</v>
      </c>
      <c r="B229" s="1" t="s">
        <v>413</v>
      </c>
      <c r="C229" s="1">
        <v>555032802</v>
      </c>
      <c r="D229" s="1" t="s">
        <v>414</v>
      </c>
      <c r="E229" s="15">
        <v>81446902337</v>
      </c>
      <c r="F229" s="2">
        <f>IFERROR(VLOOKUP(B229,M10B!B:W,22,FALSE),0)</f>
        <v>0</v>
      </c>
      <c r="G229" s="1">
        <f t="shared" si="10"/>
        <v>0</v>
      </c>
      <c r="I229" s="17"/>
    </row>
    <row r="230" spans="1:9" x14ac:dyDescent="0.2">
      <c r="A230" s="1" t="s">
        <v>410</v>
      </c>
      <c r="B230" s="1" t="s">
        <v>415</v>
      </c>
      <c r="C230" s="1">
        <v>555032768</v>
      </c>
      <c r="D230" s="1" t="s">
        <v>416</v>
      </c>
      <c r="E230" s="15">
        <v>81446902339</v>
      </c>
      <c r="F230" s="2">
        <f>IFERROR(VLOOKUP(B230,M10B!B:W,22,FALSE),0)</f>
        <v>0</v>
      </c>
      <c r="G230" s="1">
        <f t="shared" si="10"/>
        <v>0</v>
      </c>
      <c r="I230" s="17"/>
    </row>
    <row r="231" spans="1:9" x14ac:dyDescent="0.2">
      <c r="A231" s="1" t="s">
        <v>410</v>
      </c>
      <c r="B231" s="1" t="s">
        <v>417</v>
      </c>
      <c r="C231" s="1">
        <v>555032812</v>
      </c>
      <c r="D231" s="1" t="s">
        <v>418</v>
      </c>
      <c r="E231" s="15">
        <v>81446902340</v>
      </c>
      <c r="F231" s="2">
        <f>IFERROR(VLOOKUP(B231,M10B!B:W,22,FALSE),0)</f>
        <v>0</v>
      </c>
      <c r="G231" s="1">
        <f t="shared" si="10"/>
        <v>0</v>
      </c>
      <c r="I231" s="17"/>
    </row>
    <row r="232" spans="1:9" x14ac:dyDescent="0.2">
      <c r="A232" s="1" t="s">
        <v>410</v>
      </c>
      <c r="B232" s="1" t="s">
        <v>419</v>
      </c>
      <c r="C232" s="1">
        <v>555032861</v>
      </c>
      <c r="D232" s="1" t="s">
        <v>420</v>
      </c>
      <c r="E232" s="15">
        <v>81446902341</v>
      </c>
      <c r="F232" s="2">
        <f>IFERROR(VLOOKUP(B232,M10B!B:W,22,FALSE),0)</f>
        <v>0</v>
      </c>
      <c r="G232" s="1">
        <f t="shared" si="10"/>
        <v>0</v>
      </c>
      <c r="I232" s="17"/>
    </row>
    <row r="233" spans="1:9" x14ac:dyDescent="0.2">
      <c r="A233" s="1" t="s">
        <v>410</v>
      </c>
      <c r="B233" s="1" t="s">
        <v>421</v>
      </c>
      <c r="C233" s="1">
        <v>555048238</v>
      </c>
      <c r="D233" s="1" t="s">
        <v>422</v>
      </c>
      <c r="E233" s="15">
        <v>81446902342</v>
      </c>
      <c r="F233" s="2">
        <f>IFERROR(VLOOKUP(B233,M10B!B:W,22,FALSE),0)</f>
        <v>0</v>
      </c>
      <c r="G233" s="1">
        <f t="shared" si="10"/>
        <v>0</v>
      </c>
      <c r="I233" s="17"/>
    </row>
    <row r="234" spans="1:9" x14ac:dyDescent="0.2">
      <c r="A234" s="1" t="s">
        <v>405</v>
      </c>
      <c r="B234" s="1" t="s">
        <v>406</v>
      </c>
      <c r="C234" s="1">
        <v>555032871</v>
      </c>
      <c r="D234" s="1" t="s">
        <v>407</v>
      </c>
      <c r="E234" s="15">
        <v>81446902344</v>
      </c>
      <c r="F234" s="2">
        <f>IFERROR(VLOOKUP(B234,M10B!B:W,22,FALSE),0)</f>
        <v>0</v>
      </c>
      <c r="G234" s="1">
        <f t="shared" si="10"/>
        <v>0</v>
      </c>
      <c r="I234" s="17"/>
    </row>
    <row r="235" spans="1:9" x14ac:dyDescent="0.2">
      <c r="A235" s="1" t="s">
        <v>405</v>
      </c>
      <c r="B235" s="1" t="s">
        <v>408</v>
      </c>
      <c r="C235" s="1">
        <v>555048241</v>
      </c>
      <c r="D235" s="1" t="s">
        <v>409</v>
      </c>
      <c r="E235" s="15">
        <v>81446902345</v>
      </c>
      <c r="F235" s="2">
        <f>IFERROR(VLOOKUP(B235,M10B!B:W,22,FALSE),0)</f>
        <v>0</v>
      </c>
      <c r="G235" s="1">
        <f t="shared" si="10"/>
        <v>0</v>
      </c>
      <c r="I235" s="17"/>
    </row>
    <row r="236" spans="1:9" x14ac:dyDescent="0.2">
      <c r="A236" s="1" t="s">
        <v>370</v>
      </c>
      <c r="B236" s="1" t="s">
        <v>216</v>
      </c>
      <c r="C236" s="1">
        <v>554919950</v>
      </c>
      <c r="D236" s="1" t="s">
        <v>215</v>
      </c>
      <c r="E236" s="15">
        <v>81109801876</v>
      </c>
      <c r="F236" s="2">
        <f>IFERROR(VLOOKUP(B236,M10B!B:W,22,FALSE),0)</f>
        <v>0</v>
      </c>
      <c r="G236" s="1">
        <f t="shared" si="10"/>
        <v>0</v>
      </c>
      <c r="I236" s="17"/>
    </row>
    <row r="237" spans="1:9" x14ac:dyDescent="0.2">
      <c r="A237" s="1" t="s">
        <v>370</v>
      </c>
      <c r="B237" s="1" t="s">
        <v>117</v>
      </c>
      <c r="C237" s="1">
        <v>554919935</v>
      </c>
      <c r="D237" s="1" t="s">
        <v>116</v>
      </c>
      <c r="E237" s="15">
        <v>81109801858</v>
      </c>
      <c r="F237" s="2">
        <f>IFERROR(VLOOKUP(B237,M10B!B:W,22,FALSE),0)</f>
        <v>0</v>
      </c>
      <c r="G237" s="1">
        <f t="shared" si="10"/>
        <v>0</v>
      </c>
      <c r="I237" s="17"/>
    </row>
    <row r="238" spans="1:9" x14ac:dyDescent="0.2">
      <c r="A238" s="1" t="s">
        <v>370</v>
      </c>
      <c r="B238" s="1" t="s">
        <v>243</v>
      </c>
      <c r="C238" s="1">
        <v>554919936</v>
      </c>
      <c r="D238" s="1" t="s">
        <v>242</v>
      </c>
      <c r="E238" s="15">
        <v>81109801860</v>
      </c>
      <c r="F238" s="2">
        <f>IFERROR(VLOOKUP(B238,M10B!B:W,22,FALSE),0)</f>
        <v>0</v>
      </c>
      <c r="G238" s="1">
        <f t="shared" si="10"/>
        <v>0</v>
      </c>
      <c r="I238" s="17"/>
    </row>
    <row r="239" spans="1:9" x14ac:dyDescent="0.2">
      <c r="A239" s="1" t="s">
        <v>370</v>
      </c>
      <c r="B239" s="1" t="s">
        <v>133</v>
      </c>
      <c r="C239" s="1">
        <v>554919928</v>
      </c>
      <c r="D239" s="1" t="s">
        <v>132</v>
      </c>
      <c r="E239" s="15">
        <v>81109801851</v>
      </c>
      <c r="F239" s="2">
        <f>IFERROR(VLOOKUP(B239,M10B!B:W,22,FALSE),0)</f>
        <v>0</v>
      </c>
      <c r="G239" s="1">
        <f t="shared" si="10"/>
        <v>0</v>
      </c>
      <c r="I239" s="17"/>
    </row>
    <row r="240" spans="1:9" x14ac:dyDescent="0.2">
      <c r="A240" s="1" t="s">
        <v>370</v>
      </c>
      <c r="B240" s="1" t="s">
        <v>176</v>
      </c>
      <c r="C240" s="1">
        <v>554919951</v>
      </c>
      <c r="D240" s="1" t="s">
        <v>175</v>
      </c>
      <c r="E240" s="15">
        <v>81109801877</v>
      </c>
      <c r="F240" s="2">
        <f>IFERROR(VLOOKUP(B240,M10B!B:W,22,FALSE),0)</f>
        <v>0</v>
      </c>
      <c r="G240" s="1">
        <f t="shared" si="10"/>
        <v>0</v>
      </c>
      <c r="I240" s="17"/>
    </row>
    <row r="241" spans="1:9" x14ac:dyDescent="0.2">
      <c r="A241" s="1" t="s">
        <v>370</v>
      </c>
      <c r="B241" s="1" t="s">
        <v>190</v>
      </c>
      <c r="C241" s="1">
        <v>554919948</v>
      </c>
      <c r="D241" s="1" t="s">
        <v>189</v>
      </c>
      <c r="E241" s="15">
        <v>81109801873</v>
      </c>
      <c r="F241" s="2">
        <f>IFERROR(VLOOKUP(B241,M10B!B:W,22,FALSE),0)</f>
        <v>0</v>
      </c>
      <c r="G241" s="1">
        <f t="shared" si="10"/>
        <v>0</v>
      </c>
      <c r="I241" s="17"/>
    </row>
    <row r="242" spans="1:9" x14ac:dyDescent="0.2">
      <c r="A242" s="1" t="s">
        <v>370</v>
      </c>
      <c r="B242" s="1" t="s">
        <v>141</v>
      </c>
      <c r="C242" s="1">
        <v>554919476</v>
      </c>
      <c r="D242" s="1" t="s">
        <v>140</v>
      </c>
      <c r="E242" s="15">
        <v>81109801882</v>
      </c>
      <c r="F242" s="2">
        <f>IFERROR(VLOOKUP(B242,M10B!B:W,22,FALSE),0)</f>
        <v>0</v>
      </c>
      <c r="G242" s="1">
        <f t="shared" si="10"/>
        <v>0</v>
      </c>
      <c r="I242" s="17"/>
    </row>
    <row r="243" spans="1:9" x14ac:dyDescent="0.2">
      <c r="A243" s="1" t="s">
        <v>370</v>
      </c>
      <c r="B243" s="1" t="s">
        <v>167</v>
      </c>
      <c r="C243" s="1">
        <v>554919882</v>
      </c>
      <c r="D243" s="1" t="s">
        <v>166</v>
      </c>
      <c r="E243" s="15">
        <v>81109801802</v>
      </c>
      <c r="F243" s="2">
        <f>IFERROR(VLOOKUP(B243,M10B!B:W,22,FALSE),0)</f>
        <v>0</v>
      </c>
      <c r="G243" s="1">
        <f t="shared" si="10"/>
        <v>0</v>
      </c>
      <c r="I243" s="17"/>
    </row>
    <row r="244" spans="1:9" x14ac:dyDescent="0.2">
      <c r="A244" s="1" t="s">
        <v>370</v>
      </c>
      <c r="B244" s="1" t="s">
        <v>103</v>
      </c>
      <c r="C244" s="1">
        <v>554919483</v>
      </c>
      <c r="D244" s="1" t="s">
        <v>102</v>
      </c>
      <c r="E244" s="15">
        <v>81109801884</v>
      </c>
      <c r="F244" s="2">
        <f>IFERROR(VLOOKUP(B244,M10B!B:W,22,FALSE),0)</f>
        <v>0</v>
      </c>
      <c r="G244" s="1">
        <f t="shared" si="10"/>
        <v>0</v>
      </c>
      <c r="I244" s="17"/>
    </row>
    <row r="245" spans="1:9" x14ac:dyDescent="0.2">
      <c r="A245" s="1" t="s">
        <v>370</v>
      </c>
      <c r="B245" s="1" t="s">
        <v>169</v>
      </c>
      <c r="C245" s="1">
        <v>554919927</v>
      </c>
      <c r="D245" s="1" t="s">
        <v>168</v>
      </c>
      <c r="E245" s="15">
        <v>81109801850</v>
      </c>
      <c r="F245" s="2">
        <f>IFERROR(VLOOKUP(B245,M10B!B:W,22,FALSE),0)</f>
        <v>0</v>
      </c>
      <c r="G245" s="1">
        <f t="shared" si="10"/>
        <v>0</v>
      </c>
      <c r="I245" s="17"/>
    </row>
    <row r="246" spans="1:9" x14ac:dyDescent="0.2">
      <c r="A246" s="1" t="s">
        <v>370</v>
      </c>
      <c r="B246" s="1" t="s">
        <v>276</v>
      </c>
      <c r="C246" s="1">
        <v>554919907</v>
      </c>
      <c r="D246" s="1" t="s">
        <v>275</v>
      </c>
      <c r="E246" s="15">
        <v>81109801829</v>
      </c>
      <c r="F246" s="2">
        <f>IFERROR(VLOOKUP(B246,M10B!B:W,22,FALSE),0)</f>
        <v>0</v>
      </c>
      <c r="G246" s="1">
        <f t="shared" si="10"/>
        <v>0</v>
      </c>
      <c r="I246" s="17"/>
    </row>
    <row r="247" spans="1:9" x14ac:dyDescent="0.2">
      <c r="A247" s="1" t="s">
        <v>370</v>
      </c>
      <c r="B247" s="1" t="s">
        <v>143</v>
      </c>
      <c r="C247" s="1">
        <v>554919903</v>
      </c>
      <c r="D247" s="1" t="s">
        <v>142</v>
      </c>
      <c r="E247" s="15">
        <v>81109801824</v>
      </c>
      <c r="F247" s="2">
        <f>IFERROR(VLOOKUP(B247,M10B!B:W,22,FALSE),0)</f>
        <v>0</v>
      </c>
      <c r="G247" s="1">
        <f t="shared" si="10"/>
        <v>0</v>
      </c>
      <c r="I247" s="17"/>
    </row>
    <row r="248" spans="1:9" x14ac:dyDescent="0.2">
      <c r="A248" s="1" t="s">
        <v>370</v>
      </c>
      <c r="B248" s="1" t="s">
        <v>127</v>
      </c>
      <c r="C248" s="1">
        <v>554919883</v>
      </c>
      <c r="D248" s="1" t="s">
        <v>126</v>
      </c>
      <c r="E248" s="15">
        <v>81109801803</v>
      </c>
      <c r="F248" s="2">
        <f>IFERROR(VLOOKUP(B248,M10B!B:W,22,FALSE),0)</f>
        <v>0</v>
      </c>
      <c r="G248" s="1">
        <f t="shared" si="10"/>
        <v>0</v>
      </c>
      <c r="I248" s="17"/>
    </row>
    <row r="249" spans="1:9" x14ac:dyDescent="0.2">
      <c r="A249" s="1" t="s">
        <v>370</v>
      </c>
      <c r="B249" s="1" t="s">
        <v>107</v>
      </c>
      <c r="C249" s="1">
        <v>554919913</v>
      </c>
      <c r="D249" s="1" t="s">
        <v>106</v>
      </c>
      <c r="E249" s="15">
        <v>81109801836</v>
      </c>
      <c r="F249" s="2">
        <f>IFERROR(VLOOKUP(B249,M10B!B:W,22,FALSE),0)</f>
        <v>0</v>
      </c>
      <c r="G249" s="1">
        <f t="shared" si="10"/>
        <v>0</v>
      </c>
      <c r="I249" s="17"/>
    </row>
    <row r="250" spans="1:9" x14ac:dyDescent="0.2">
      <c r="A250" s="1" t="s">
        <v>370</v>
      </c>
      <c r="B250" s="1" t="s">
        <v>147</v>
      </c>
      <c r="C250" s="1">
        <v>554919912</v>
      </c>
      <c r="D250" s="1" t="s">
        <v>146</v>
      </c>
      <c r="E250" s="15">
        <v>81109801835</v>
      </c>
      <c r="F250" s="2">
        <f>IFERROR(VLOOKUP(B250,M10B!B:W,22,FALSE),0)</f>
        <v>0</v>
      </c>
      <c r="G250" s="1">
        <f t="shared" si="10"/>
        <v>0</v>
      </c>
      <c r="I250" s="17"/>
    </row>
    <row r="251" spans="1:9" x14ac:dyDescent="0.2">
      <c r="A251" s="1" t="s">
        <v>370</v>
      </c>
      <c r="B251" s="1" t="s">
        <v>131</v>
      </c>
      <c r="C251" s="1">
        <v>554919884</v>
      </c>
      <c r="D251" s="1" t="s">
        <v>130</v>
      </c>
      <c r="E251" s="15">
        <v>81109801804</v>
      </c>
      <c r="F251" s="2">
        <f>IFERROR(VLOOKUP(B251,M10B!B:W,22,FALSE),0)</f>
        <v>0</v>
      </c>
      <c r="G251" s="1">
        <f t="shared" si="10"/>
        <v>0</v>
      </c>
      <c r="I251" s="17"/>
    </row>
    <row r="252" spans="1:9" x14ac:dyDescent="0.2">
      <c r="A252" s="1" t="s">
        <v>370</v>
      </c>
      <c r="B252" s="1" t="s">
        <v>125</v>
      </c>
      <c r="C252" s="1">
        <v>554919908</v>
      </c>
      <c r="D252" s="1" t="s">
        <v>124</v>
      </c>
      <c r="E252" s="15">
        <v>81109801830</v>
      </c>
      <c r="F252" s="2">
        <f>IFERROR(VLOOKUP(B252,M10B!B:W,22,FALSE),0)</f>
        <v>0</v>
      </c>
      <c r="G252" s="1">
        <f t="shared" si="10"/>
        <v>0</v>
      </c>
      <c r="I252" s="17"/>
    </row>
    <row r="253" spans="1:9" x14ac:dyDescent="0.2">
      <c r="A253" s="1" t="s">
        <v>370</v>
      </c>
      <c r="B253" s="1" t="s">
        <v>251</v>
      </c>
      <c r="C253" s="1">
        <v>554919906</v>
      </c>
      <c r="D253" s="1" t="s">
        <v>250</v>
      </c>
      <c r="E253" s="15">
        <v>81109801827</v>
      </c>
      <c r="F253" s="2">
        <f>IFERROR(VLOOKUP(B253,M10B!B:W,22,FALSE),0)</f>
        <v>0</v>
      </c>
      <c r="G253" s="1">
        <f t="shared" si="10"/>
        <v>0</v>
      </c>
      <c r="I253" s="17"/>
    </row>
    <row r="254" spans="1:9" x14ac:dyDescent="0.2">
      <c r="A254" s="1" t="s">
        <v>370</v>
      </c>
      <c r="B254" s="1" t="s">
        <v>186</v>
      </c>
      <c r="C254" s="1">
        <v>554919887</v>
      </c>
      <c r="D254" s="1" t="s">
        <v>185</v>
      </c>
      <c r="E254" s="15">
        <v>81109801807</v>
      </c>
      <c r="F254" s="2">
        <f>IFERROR(VLOOKUP(B254,M10B!B:W,22,FALSE),0)</f>
        <v>0</v>
      </c>
      <c r="G254" s="1">
        <f t="shared" si="10"/>
        <v>0</v>
      </c>
      <c r="I254" s="17"/>
    </row>
    <row r="255" spans="1:9" x14ac:dyDescent="0.2">
      <c r="A255" s="1" t="s">
        <v>370</v>
      </c>
      <c r="B255" s="1" t="s">
        <v>85</v>
      </c>
      <c r="C255" s="1">
        <v>554919914</v>
      </c>
      <c r="D255" s="1" t="s">
        <v>84</v>
      </c>
      <c r="E255" s="15">
        <v>81109801837</v>
      </c>
      <c r="F255" s="2">
        <f>IFERROR(VLOOKUP(B255,M10B!B:W,22,FALSE),0)</f>
        <v>0</v>
      </c>
      <c r="G255" s="1">
        <f t="shared" si="10"/>
        <v>0</v>
      </c>
      <c r="I255" s="17"/>
    </row>
    <row r="256" spans="1:9" x14ac:dyDescent="0.2">
      <c r="A256" s="1" t="s">
        <v>370</v>
      </c>
      <c r="B256" s="1" t="s">
        <v>192</v>
      </c>
      <c r="C256" s="1">
        <v>554919897</v>
      </c>
      <c r="D256" s="1" t="s">
        <v>191</v>
      </c>
      <c r="E256" s="15">
        <v>81109801817</v>
      </c>
      <c r="F256" s="2">
        <f>IFERROR(VLOOKUP(B256,M10B!B:W,22,FALSE),0)</f>
        <v>0</v>
      </c>
      <c r="G256" s="1">
        <f t="shared" si="10"/>
        <v>0</v>
      </c>
      <c r="I256" s="17"/>
    </row>
    <row r="257" spans="1:9" x14ac:dyDescent="0.2">
      <c r="A257" s="1" t="s">
        <v>370</v>
      </c>
      <c r="B257" s="1" t="s">
        <v>174</v>
      </c>
      <c r="C257" s="1">
        <v>554919496</v>
      </c>
      <c r="D257" s="1" t="s">
        <v>173</v>
      </c>
      <c r="E257" s="15">
        <v>81109801941</v>
      </c>
      <c r="F257" s="2">
        <f>IFERROR(VLOOKUP(B257,M10B!B:W,22,FALSE),0)</f>
        <v>0</v>
      </c>
      <c r="G257" s="1">
        <f t="shared" si="10"/>
        <v>0</v>
      </c>
      <c r="I257" s="17"/>
    </row>
    <row r="258" spans="1:9" x14ac:dyDescent="0.2">
      <c r="A258" s="1" t="s">
        <v>370</v>
      </c>
      <c r="B258" s="1" t="s">
        <v>264</v>
      </c>
      <c r="C258" s="1">
        <v>554919494</v>
      </c>
      <c r="D258" s="1" t="s">
        <v>263</v>
      </c>
      <c r="E258" s="15">
        <v>81109801940</v>
      </c>
      <c r="F258" s="2">
        <f>IFERROR(VLOOKUP(B258,M10B!B:W,22,FALSE),0)</f>
        <v>0</v>
      </c>
      <c r="G258" s="1">
        <f t="shared" si="10"/>
        <v>0</v>
      </c>
      <c r="I258" s="17"/>
    </row>
    <row r="259" spans="1:9" x14ac:dyDescent="0.2">
      <c r="A259" s="1" t="s">
        <v>370</v>
      </c>
      <c r="B259" s="1" t="s">
        <v>249</v>
      </c>
      <c r="C259" s="1">
        <v>554919511</v>
      </c>
      <c r="D259" s="1" t="s">
        <v>248</v>
      </c>
      <c r="E259" s="15">
        <v>81109801947</v>
      </c>
      <c r="F259" s="2">
        <f>IFERROR(VLOOKUP(B259,M10B!B:W,22,FALSE),0)</f>
        <v>0</v>
      </c>
      <c r="G259" s="1">
        <f t="shared" si="10"/>
        <v>0</v>
      </c>
      <c r="I259" s="17"/>
    </row>
    <row r="260" spans="1:9" x14ac:dyDescent="0.2">
      <c r="A260" s="1" t="s">
        <v>370</v>
      </c>
      <c r="B260" s="1" t="s">
        <v>266</v>
      </c>
      <c r="C260" s="1">
        <v>554919517</v>
      </c>
      <c r="D260" s="1" t="s">
        <v>265</v>
      </c>
      <c r="E260" s="15">
        <v>81109801949</v>
      </c>
      <c r="F260" s="2">
        <f>IFERROR(VLOOKUP(B260,M10B!B:W,22,FALSE),0)</f>
        <v>0</v>
      </c>
      <c r="G260" s="1">
        <f t="shared" ref="G260:G291" si="11">CEILING(F260,80)</f>
        <v>0</v>
      </c>
      <c r="I260" s="17"/>
    </row>
    <row r="261" spans="1:9" x14ac:dyDescent="0.2">
      <c r="A261" s="1" t="s">
        <v>370</v>
      </c>
      <c r="B261" s="1" t="s">
        <v>123</v>
      </c>
      <c r="C261" s="1">
        <v>554919544</v>
      </c>
      <c r="D261" s="1" t="s">
        <v>122</v>
      </c>
      <c r="E261" s="15">
        <v>81109801959</v>
      </c>
      <c r="F261" s="2">
        <f>IFERROR(VLOOKUP(B261,M10B!B:W,22,FALSE),0)</f>
        <v>0</v>
      </c>
      <c r="G261" s="1">
        <f t="shared" si="11"/>
        <v>0</v>
      </c>
      <c r="I261" s="17"/>
    </row>
    <row r="262" spans="1:9" x14ac:dyDescent="0.2">
      <c r="A262" s="1" t="s">
        <v>370</v>
      </c>
      <c r="B262" s="1" t="s">
        <v>101</v>
      </c>
      <c r="C262" s="1">
        <v>554919541</v>
      </c>
      <c r="D262" s="1" t="s">
        <v>100</v>
      </c>
      <c r="E262" s="15">
        <v>81109801958</v>
      </c>
      <c r="F262" s="2">
        <f>IFERROR(VLOOKUP(B262,M10B!B:W,22,FALSE),0)</f>
        <v>0</v>
      </c>
      <c r="G262" s="1">
        <f t="shared" si="11"/>
        <v>0</v>
      </c>
      <c r="I262" s="17"/>
    </row>
    <row r="263" spans="1:9" x14ac:dyDescent="0.2">
      <c r="A263" s="1" t="s">
        <v>370</v>
      </c>
      <c r="B263" s="1" t="s">
        <v>111</v>
      </c>
      <c r="C263" s="1">
        <v>554919602</v>
      </c>
      <c r="D263" s="1" t="s">
        <v>110</v>
      </c>
      <c r="E263" s="15">
        <v>81109801979</v>
      </c>
      <c r="F263" s="2">
        <f>IFERROR(VLOOKUP(B263,M10B!B:W,22,FALSE),0)</f>
        <v>0</v>
      </c>
      <c r="G263" s="1">
        <f t="shared" si="11"/>
        <v>0</v>
      </c>
      <c r="I263" s="17"/>
    </row>
    <row r="264" spans="1:9" x14ac:dyDescent="0.2">
      <c r="A264" s="1" t="s">
        <v>370</v>
      </c>
      <c r="B264" s="1" t="s">
        <v>342</v>
      </c>
      <c r="C264" s="1">
        <v>554919547</v>
      </c>
      <c r="D264" s="1" t="s">
        <v>341</v>
      </c>
      <c r="E264" s="15">
        <v>81109801960</v>
      </c>
      <c r="F264" s="2">
        <f>IFERROR(VLOOKUP(B264,M10B!B:W,22,FALSE),0)</f>
        <v>0</v>
      </c>
      <c r="G264" s="1">
        <f t="shared" si="11"/>
        <v>0</v>
      </c>
      <c r="I264" s="17"/>
    </row>
    <row r="265" spans="1:9" x14ac:dyDescent="0.2">
      <c r="A265" s="1" t="s">
        <v>370</v>
      </c>
      <c r="B265" s="1" t="s">
        <v>352</v>
      </c>
      <c r="C265" s="1">
        <v>554919550</v>
      </c>
      <c r="D265" s="1" t="s">
        <v>351</v>
      </c>
      <c r="E265" s="15">
        <v>81109801961</v>
      </c>
      <c r="F265" s="2">
        <f>IFERROR(VLOOKUP(B265,M10B!B:W,22,FALSE),0)</f>
        <v>0</v>
      </c>
      <c r="G265" s="1">
        <f t="shared" si="11"/>
        <v>0</v>
      </c>
      <c r="I265" s="17"/>
    </row>
    <row r="266" spans="1:9" x14ac:dyDescent="0.2">
      <c r="A266" s="1" t="s">
        <v>370</v>
      </c>
      <c r="B266" s="1" t="s">
        <v>237</v>
      </c>
      <c r="C266" s="1">
        <v>554919559</v>
      </c>
      <c r="D266" s="1" t="s">
        <v>236</v>
      </c>
      <c r="E266" s="15">
        <v>81109801964</v>
      </c>
      <c r="F266" s="2">
        <f>IFERROR(VLOOKUP(B266,M10B!B:W,22,FALSE),0)</f>
        <v>0</v>
      </c>
      <c r="G266" s="1">
        <f t="shared" si="11"/>
        <v>0</v>
      </c>
      <c r="I266" s="17"/>
    </row>
    <row r="267" spans="1:9" x14ac:dyDescent="0.2">
      <c r="A267" s="1" t="s">
        <v>370</v>
      </c>
      <c r="B267" s="1" t="s">
        <v>220</v>
      </c>
      <c r="C267" s="1">
        <v>554919910</v>
      </c>
      <c r="D267" s="1" t="s">
        <v>219</v>
      </c>
      <c r="E267" s="15">
        <v>81109801833</v>
      </c>
      <c r="F267" s="2">
        <f>IFERROR(VLOOKUP(B267,M10B!B:W,22,FALSE),0)</f>
        <v>0</v>
      </c>
      <c r="G267" s="1">
        <f t="shared" si="11"/>
        <v>0</v>
      </c>
      <c r="I267" s="17"/>
    </row>
    <row r="268" spans="1:9" x14ac:dyDescent="0.2">
      <c r="A268" s="1" t="s">
        <v>370</v>
      </c>
      <c r="B268" s="1" t="s">
        <v>233</v>
      </c>
      <c r="C268" s="1">
        <v>554919573</v>
      </c>
      <c r="D268" s="1" t="s">
        <v>232</v>
      </c>
      <c r="E268" s="15">
        <v>81109801969</v>
      </c>
      <c r="F268" s="2">
        <f>IFERROR(VLOOKUP(B268,M10B!B:W,22,FALSE),0)</f>
        <v>0</v>
      </c>
      <c r="G268" s="1">
        <f t="shared" si="11"/>
        <v>0</v>
      </c>
      <c r="I268" s="17"/>
    </row>
    <row r="269" spans="1:9" x14ac:dyDescent="0.2">
      <c r="A269" s="1" t="s">
        <v>370</v>
      </c>
      <c r="B269" s="1" t="s">
        <v>272</v>
      </c>
      <c r="C269" s="1">
        <v>554919841</v>
      </c>
      <c r="D269" s="1" t="s">
        <v>271</v>
      </c>
      <c r="E269" s="15">
        <v>81109801778</v>
      </c>
      <c r="F269" s="2">
        <f>IFERROR(VLOOKUP(B269,M10B!B:W,22,FALSE),0)</f>
        <v>0</v>
      </c>
      <c r="G269" s="1">
        <f t="shared" si="11"/>
        <v>0</v>
      </c>
      <c r="I269" s="17"/>
    </row>
    <row r="270" spans="1:9" x14ac:dyDescent="0.2">
      <c r="A270" s="1" t="s">
        <v>375</v>
      </c>
      <c r="B270" s="1" t="s">
        <v>389</v>
      </c>
      <c r="C270" s="1">
        <v>555032624</v>
      </c>
      <c r="D270" s="1" t="s">
        <v>390</v>
      </c>
      <c r="E270" s="15">
        <v>81446902293</v>
      </c>
      <c r="F270" s="2">
        <f>IFERROR(VLOOKUP(B270,M10B!B:W,22,FALSE),0)</f>
        <v>0</v>
      </c>
      <c r="G270" s="1">
        <f t="shared" si="11"/>
        <v>0</v>
      </c>
      <c r="I270" s="17"/>
    </row>
    <row r="271" spans="1:9" x14ac:dyDescent="0.2">
      <c r="A271" s="1" t="s">
        <v>375</v>
      </c>
      <c r="B271" s="1" t="s">
        <v>391</v>
      </c>
      <c r="C271" s="1">
        <v>555048235</v>
      </c>
      <c r="D271" s="1" t="s">
        <v>392</v>
      </c>
      <c r="E271" s="15">
        <v>81446902295</v>
      </c>
      <c r="F271" s="2">
        <f>IFERROR(VLOOKUP(B271,M10B!B:W,22,FALSE),0)</f>
        <v>0</v>
      </c>
      <c r="G271" s="1">
        <f t="shared" si="11"/>
        <v>0</v>
      </c>
      <c r="I271" s="17"/>
    </row>
    <row r="272" spans="1:9" x14ac:dyDescent="0.2">
      <c r="A272" s="1" t="s">
        <v>375</v>
      </c>
      <c r="B272" s="1" t="s">
        <v>393</v>
      </c>
      <c r="C272" s="1">
        <v>555032632</v>
      </c>
      <c r="D272" s="1" t="s">
        <v>394</v>
      </c>
      <c r="E272" s="15">
        <v>81446902297</v>
      </c>
      <c r="F272" s="2">
        <f>IFERROR(VLOOKUP(B272,M10B!B:W,22,FALSE),0)</f>
        <v>0</v>
      </c>
      <c r="G272" s="1">
        <f t="shared" si="11"/>
        <v>0</v>
      </c>
      <c r="I272" s="17"/>
    </row>
    <row r="273" spans="1:9" x14ac:dyDescent="0.2">
      <c r="A273" s="1" t="s">
        <v>375</v>
      </c>
      <c r="B273" s="1" t="s">
        <v>378</v>
      </c>
      <c r="C273" s="1">
        <v>555032599</v>
      </c>
      <c r="D273" s="1" t="s">
        <v>379</v>
      </c>
      <c r="E273" s="15">
        <v>81446902298</v>
      </c>
      <c r="F273" s="2">
        <f>IFERROR(VLOOKUP(B273,M10B!B:W,22,FALSE),0)</f>
        <v>0</v>
      </c>
      <c r="G273" s="1">
        <f t="shared" si="11"/>
        <v>0</v>
      </c>
      <c r="I273" s="17"/>
    </row>
    <row r="274" spans="1:9" x14ac:dyDescent="0.2">
      <c r="A274" s="1" t="s">
        <v>375</v>
      </c>
      <c r="B274" s="1" t="s">
        <v>380</v>
      </c>
      <c r="C274" s="1">
        <v>555032640</v>
      </c>
      <c r="D274" s="1" t="s">
        <v>381</v>
      </c>
      <c r="E274" s="15">
        <v>81446902299</v>
      </c>
      <c r="F274" s="2">
        <f>IFERROR(VLOOKUP(B274,M10B!B:W,22,FALSE),0)</f>
        <v>0</v>
      </c>
      <c r="G274" s="1">
        <f t="shared" si="11"/>
        <v>0</v>
      </c>
      <c r="I274" s="17"/>
    </row>
    <row r="275" spans="1:9" x14ac:dyDescent="0.2">
      <c r="A275" s="1" t="s">
        <v>375</v>
      </c>
      <c r="B275" s="1" t="s">
        <v>382</v>
      </c>
      <c r="C275" s="1">
        <v>555086370</v>
      </c>
      <c r="D275" s="1" t="s">
        <v>383</v>
      </c>
      <c r="E275" s="15">
        <v>81446902358</v>
      </c>
      <c r="F275" s="2">
        <f>IFERROR(VLOOKUP(B275,M10B!B:W,22,FALSE),0)</f>
        <v>0</v>
      </c>
      <c r="G275" s="1">
        <f t="shared" si="11"/>
        <v>0</v>
      </c>
      <c r="I275" s="17"/>
    </row>
    <row r="276" spans="1:9" x14ac:dyDescent="0.2">
      <c r="A276" s="1" t="s">
        <v>375</v>
      </c>
      <c r="B276" s="1" t="s">
        <v>395</v>
      </c>
      <c r="C276" s="1">
        <v>555032651</v>
      </c>
      <c r="D276" s="1" t="s">
        <v>396</v>
      </c>
      <c r="E276" s="15">
        <v>81446902301</v>
      </c>
      <c r="F276" s="2">
        <f>IFERROR(VLOOKUP(B276,M10B!B:W,22,FALSE),0)</f>
        <v>0</v>
      </c>
      <c r="G276" s="1">
        <f t="shared" si="11"/>
        <v>0</v>
      </c>
      <c r="I276" s="17"/>
    </row>
    <row r="277" spans="1:9" x14ac:dyDescent="0.2">
      <c r="A277" s="1" t="s">
        <v>375</v>
      </c>
      <c r="B277" s="1" t="s">
        <v>397</v>
      </c>
      <c r="C277" s="1">
        <v>555032615</v>
      </c>
      <c r="D277" s="1" t="s">
        <v>398</v>
      </c>
      <c r="E277" s="15">
        <v>81446902302</v>
      </c>
      <c r="F277" s="2">
        <f>IFERROR(VLOOKUP(B277,M10B!B:W,22,FALSE),0)</f>
        <v>0</v>
      </c>
      <c r="G277" s="1">
        <f t="shared" si="11"/>
        <v>0</v>
      </c>
      <c r="I277" s="17"/>
    </row>
    <row r="278" spans="1:9" x14ac:dyDescent="0.2">
      <c r="A278" s="1" t="s">
        <v>375</v>
      </c>
      <c r="B278" s="1" t="s">
        <v>376</v>
      </c>
      <c r="C278" s="1">
        <v>555032660</v>
      </c>
      <c r="D278" s="1" t="s">
        <v>377</v>
      </c>
      <c r="E278" s="15">
        <v>81446902303</v>
      </c>
      <c r="F278" s="2">
        <f>IFERROR(VLOOKUP(B278,M10B!B:W,22,FALSE),0)</f>
        <v>0</v>
      </c>
      <c r="G278" s="1">
        <f t="shared" si="11"/>
        <v>0</v>
      </c>
      <c r="I278" s="17"/>
    </row>
    <row r="279" spans="1:9" x14ac:dyDescent="0.2">
      <c r="A279" s="1" t="s">
        <v>375</v>
      </c>
      <c r="B279" s="1" t="s">
        <v>399</v>
      </c>
      <c r="C279" s="1">
        <v>555032685</v>
      </c>
      <c r="D279" s="1" t="s">
        <v>400</v>
      </c>
      <c r="E279" s="15">
        <v>81446902304</v>
      </c>
      <c r="F279" s="2">
        <f>IFERROR(VLOOKUP(B279,M10B!B:W,22,FALSE),0)</f>
        <v>0</v>
      </c>
      <c r="G279" s="1">
        <f t="shared" si="11"/>
        <v>0</v>
      </c>
      <c r="I279" s="17"/>
    </row>
    <row r="280" spans="1:9" x14ac:dyDescent="0.2">
      <c r="A280" s="1" t="s">
        <v>375</v>
      </c>
      <c r="B280" s="1" t="s">
        <v>401</v>
      </c>
      <c r="C280" s="1">
        <v>555032691</v>
      </c>
      <c r="D280" s="1" t="s">
        <v>402</v>
      </c>
      <c r="E280" s="15">
        <v>81446902306</v>
      </c>
      <c r="F280" s="2">
        <f>IFERROR(VLOOKUP(B280,M10B!B:W,22,FALSE),0)</f>
        <v>0</v>
      </c>
      <c r="G280" s="1">
        <f t="shared" si="11"/>
        <v>0</v>
      </c>
      <c r="I280" s="17"/>
    </row>
    <row r="281" spans="1:9" x14ac:dyDescent="0.2">
      <c r="A281" s="1" t="s">
        <v>375</v>
      </c>
      <c r="B281" s="1" t="s">
        <v>403</v>
      </c>
      <c r="C281" s="1">
        <v>555032712</v>
      </c>
      <c r="D281" s="1" t="s">
        <v>404</v>
      </c>
      <c r="E281" s="15">
        <v>81446902312</v>
      </c>
      <c r="F281" s="2">
        <f>IFERROR(VLOOKUP(B281,M10B!B:W,22,FALSE),0)</f>
        <v>0</v>
      </c>
      <c r="G281" s="1">
        <f t="shared" si="11"/>
        <v>0</v>
      </c>
      <c r="I281" s="17"/>
    </row>
    <row r="282" spans="1:9" x14ac:dyDescent="0.2">
      <c r="A282" s="1" t="s">
        <v>375</v>
      </c>
      <c r="B282" s="1" t="s">
        <v>385</v>
      </c>
      <c r="C282" s="1">
        <v>555032720</v>
      </c>
      <c r="D282" s="1" t="s">
        <v>386</v>
      </c>
      <c r="E282" s="15">
        <v>81446902313</v>
      </c>
      <c r="F282" s="2">
        <f>IFERROR(VLOOKUP(B282,M10B!B:W,22,FALSE),0)</f>
        <v>0</v>
      </c>
      <c r="G282" s="1">
        <f t="shared" si="11"/>
        <v>0</v>
      </c>
      <c r="I282" s="17"/>
    </row>
    <row r="283" spans="1:9" x14ac:dyDescent="0.2">
      <c r="A283" s="1" t="s">
        <v>375</v>
      </c>
      <c r="B283" s="1" t="s">
        <v>387</v>
      </c>
      <c r="C283" s="1">
        <v>555032727</v>
      </c>
      <c r="D283" s="1" t="s">
        <v>388</v>
      </c>
      <c r="E283" s="15">
        <v>81446902314</v>
      </c>
      <c r="F283" s="2">
        <f>IFERROR(VLOOKUP(B283,M10B!B:W,22,FALSE),0)</f>
        <v>0</v>
      </c>
      <c r="G283" s="1">
        <f t="shared" si="11"/>
        <v>0</v>
      </c>
      <c r="I283" s="17"/>
    </row>
    <row r="284" spans="1:9" x14ac:dyDescent="0.2">
      <c r="A284" s="1" t="s">
        <v>504</v>
      </c>
      <c r="B284" s="1" t="s">
        <v>506</v>
      </c>
      <c r="C284" s="1">
        <v>558137537</v>
      </c>
      <c r="D284" s="1" t="s">
        <v>505</v>
      </c>
      <c r="E284" s="15">
        <v>81446902796</v>
      </c>
      <c r="F284" s="2">
        <f>IFERROR(VLOOKUP(B284,M10B!B:W,22,FALSE),0)</f>
        <v>0</v>
      </c>
      <c r="G284" s="1">
        <f t="shared" si="11"/>
        <v>0</v>
      </c>
      <c r="I284" s="17"/>
    </row>
    <row r="285" spans="1:9" x14ac:dyDescent="0.2">
      <c r="A285" s="1" t="s">
        <v>504</v>
      </c>
      <c r="B285" s="1" t="s">
        <v>508</v>
      </c>
      <c r="C285" s="1">
        <v>558137667</v>
      </c>
      <c r="D285" s="1" t="s">
        <v>507</v>
      </c>
      <c r="E285" s="15">
        <v>81446902798</v>
      </c>
      <c r="F285" s="2">
        <f>IFERROR(VLOOKUP(B285,M10B!B:W,22,FALSE),0)</f>
        <v>0</v>
      </c>
      <c r="G285" s="1">
        <f t="shared" si="11"/>
        <v>0</v>
      </c>
      <c r="I285" s="17"/>
    </row>
    <row r="286" spans="1:9" x14ac:dyDescent="0.2">
      <c r="A286" s="1" t="s">
        <v>504</v>
      </c>
      <c r="B286" s="1" t="s">
        <v>510</v>
      </c>
      <c r="C286" s="1">
        <v>558137556</v>
      </c>
      <c r="D286" s="1" t="s">
        <v>509</v>
      </c>
      <c r="E286" s="15">
        <v>81446902799</v>
      </c>
      <c r="F286" s="2">
        <f>IFERROR(VLOOKUP(B286,M10B!B:W,22,FALSE),0)</f>
        <v>0</v>
      </c>
      <c r="G286" s="1">
        <f t="shared" si="11"/>
        <v>0</v>
      </c>
      <c r="I286" s="17"/>
    </row>
    <row r="287" spans="1:9" x14ac:dyDescent="0.2">
      <c r="A287" s="1" t="s">
        <v>365</v>
      </c>
      <c r="B287" s="1" t="s">
        <v>288</v>
      </c>
      <c r="C287" s="1">
        <v>553015343</v>
      </c>
      <c r="D287" s="1" t="s">
        <v>287</v>
      </c>
      <c r="E287" s="15">
        <v>81109801728</v>
      </c>
      <c r="F287" s="2">
        <f>IFERROR(VLOOKUP(B287,M10B!B:W,22,FALSE),0)</f>
        <v>0</v>
      </c>
      <c r="G287" s="1">
        <f t="shared" si="11"/>
        <v>0</v>
      </c>
      <c r="I287" s="17"/>
    </row>
    <row r="288" spans="1:9" x14ac:dyDescent="0.2">
      <c r="A288" s="1" t="s">
        <v>365</v>
      </c>
      <c r="B288" s="1" t="s">
        <v>121</v>
      </c>
      <c r="C288" s="1">
        <v>553015342</v>
      </c>
      <c r="D288" s="1" t="s">
        <v>120</v>
      </c>
      <c r="E288" s="15">
        <v>81109801727</v>
      </c>
      <c r="F288" s="2">
        <f>IFERROR(VLOOKUP(B288,M10B!B:W,22,FALSE),0)</f>
        <v>0</v>
      </c>
      <c r="G288" s="1">
        <f t="shared" si="11"/>
        <v>0</v>
      </c>
      <c r="I288" s="17"/>
    </row>
    <row r="289" spans="1:9" x14ac:dyDescent="0.2">
      <c r="A289" s="1" t="s">
        <v>365</v>
      </c>
      <c r="B289" s="1" t="s">
        <v>180</v>
      </c>
      <c r="C289" s="1">
        <v>553015344</v>
      </c>
      <c r="D289" s="1" t="s">
        <v>179</v>
      </c>
      <c r="E289" s="15">
        <v>81109801729</v>
      </c>
      <c r="F289" s="2">
        <f>IFERROR(VLOOKUP(B289,M10B!B:W,22,FALSE),0)</f>
        <v>0</v>
      </c>
      <c r="G289" s="1">
        <f t="shared" si="11"/>
        <v>0</v>
      </c>
      <c r="I289" s="17"/>
    </row>
    <row r="290" spans="1:9" x14ac:dyDescent="0.2">
      <c r="A290" s="1" t="s">
        <v>365</v>
      </c>
      <c r="B290" s="1" t="s">
        <v>19</v>
      </c>
      <c r="C290" s="1">
        <v>553015346</v>
      </c>
      <c r="D290" s="1" t="s">
        <v>18</v>
      </c>
      <c r="E290" s="15">
        <v>81109801731</v>
      </c>
      <c r="F290" s="2">
        <f>IFERROR(VLOOKUP(B290,M10B!B:W,22,FALSE),0)</f>
        <v>0</v>
      </c>
      <c r="G290" s="1">
        <f t="shared" si="11"/>
        <v>0</v>
      </c>
      <c r="I290" s="17"/>
    </row>
    <row r="291" spans="1:9" x14ac:dyDescent="0.2">
      <c r="A291" s="1" t="s">
        <v>365</v>
      </c>
      <c r="B291" s="1" t="s">
        <v>324</v>
      </c>
      <c r="C291" s="1">
        <v>553015543</v>
      </c>
      <c r="D291" s="1" t="s">
        <v>323</v>
      </c>
      <c r="E291" s="15">
        <v>81109801967</v>
      </c>
      <c r="F291" s="2">
        <f>IFERROR(VLOOKUP(B291,M10B!B:W,22,FALSE),0)</f>
        <v>0</v>
      </c>
      <c r="G291" s="1">
        <f t="shared" si="11"/>
        <v>0</v>
      </c>
      <c r="I291" s="17"/>
    </row>
    <row r="292" spans="1:9" x14ac:dyDescent="0.2">
      <c r="A292" s="1" t="s">
        <v>365</v>
      </c>
      <c r="B292" s="1" t="s">
        <v>354</v>
      </c>
      <c r="C292" s="1">
        <v>553015450</v>
      </c>
      <c r="D292" s="1" t="s">
        <v>353</v>
      </c>
      <c r="E292" s="15">
        <v>81109801832</v>
      </c>
      <c r="F292" s="2">
        <f>IFERROR(VLOOKUP(B292,M10B!B:W,22,FALSE),0)</f>
        <v>0</v>
      </c>
      <c r="G292" s="1">
        <f t="shared" ref="G292:G323" si="12">CEILING(F292,80)</f>
        <v>0</v>
      </c>
      <c r="I292" s="17"/>
    </row>
    <row r="293" spans="1:9" x14ac:dyDescent="0.2">
      <c r="A293" s="1" t="s">
        <v>365</v>
      </c>
      <c r="B293" s="1" t="s">
        <v>348</v>
      </c>
      <c r="C293" s="1">
        <v>553015355</v>
      </c>
      <c r="D293" s="1" t="s">
        <v>347</v>
      </c>
      <c r="E293" s="15">
        <v>81109801739</v>
      </c>
      <c r="F293" s="2">
        <f>IFERROR(VLOOKUP(B293,M10B!B:W,22,FALSE),0)</f>
        <v>0</v>
      </c>
      <c r="G293" s="1">
        <f t="shared" si="12"/>
        <v>0</v>
      </c>
      <c r="I293" s="17"/>
    </row>
    <row r="294" spans="1:9" x14ac:dyDescent="0.2">
      <c r="A294" s="1" t="s">
        <v>365</v>
      </c>
      <c r="B294" s="1" t="s">
        <v>338</v>
      </c>
      <c r="C294" s="1">
        <v>553015413</v>
      </c>
      <c r="D294" s="1" t="s">
        <v>337</v>
      </c>
      <c r="E294" s="15">
        <v>81109801793</v>
      </c>
      <c r="F294" s="2">
        <f>IFERROR(VLOOKUP(B294,M10B!B:W,22,FALSE),0)</f>
        <v>0</v>
      </c>
      <c r="G294" s="1">
        <f t="shared" si="12"/>
        <v>0</v>
      </c>
      <c r="I294" s="17"/>
    </row>
    <row r="295" spans="1:9" x14ac:dyDescent="0.2">
      <c r="A295" s="1" t="s">
        <v>365</v>
      </c>
      <c r="B295" s="1" t="s">
        <v>336</v>
      </c>
      <c r="C295" s="1">
        <v>553015336</v>
      </c>
      <c r="D295" s="1" t="s">
        <v>335</v>
      </c>
      <c r="E295" s="15">
        <v>81109801721</v>
      </c>
      <c r="F295" s="2">
        <f>IFERROR(VLOOKUP(B295,M10B!B:W,22,FALSE),0)</f>
        <v>0</v>
      </c>
      <c r="G295" s="1">
        <f t="shared" si="12"/>
        <v>0</v>
      </c>
      <c r="I295" s="17"/>
    </row>
    <row r="296" spans="1:9" x14ac:dyDescent="0.2">
      <c r="A296" s="1" t="s">
        <v>365</v>
      </c>
      <c r="B296" s="1" t="s">
        <v>294</v>
      </c>
      <c r="C296" s="1">
        <v>553072762</v>
      </c>
      <c r="D296" s="1" t="s">
        <v>293</v>
      </c>
      <c r="E296" s="15">
        <v>81109801583</v>
      </c>
      <c r="F296" s="2">
        <f>IFERROR(VLOOKUP(B296,M10B!B:W,22,FALSE),0)</f>
        <v>0</v>
      </c>
      <c r="G296" s="1">
        <f t="shared" si="12"/>
        <v>0</v>
      </c>
      <c r="I296" s="17"/>
    </row>
    <row r="297" spans="1:9" x14ac:dyDescent="0.2">
      <c r="A297" s="1" t="s">
        <v>365</v>
      </c>
      <c r="B297" s="1" t="s">
        <v>9</v>
      </c>
      <c r="C297" s="1">
        <v>553015353</v>
      </c>
      <c r="D297" s="1" t="s">
        <v>8</v>
      </c>
      <c r="E297" s="15">
        <v>81109801737</v>
      </c>
      <c r="F297" s="2">
        <f>IFERROR(VLOOKUP(B297,M10B!B:W,22,FALSE),0)</f>
        <v>0</v>
      </c>
      <c r="G297" s="1">
        <f t="shared" si="12"/>
        <v>0</v>
      </c>
      <c r="I297" s="17"/>
    </row>
    <row r="298" spans="1:9" x14ac:dyDescent="0.2">
      <c r="A298" s="1" t="s">
        <v>365</v>
      </c>
      <c r="B298" s="1" t="s">
        <v>346</v>
      </c>
      <c r="C298" s="1">
        <v>553015399</v>
      </c>
      <c r="D298" s="1" t="s">
        <v>345</v>
      </c>
      <c r="E298" s="15">
        <v>81109801780</v>
      </c>
      <c r="F298" s="2">
        <f>IFERROR(VLOOKUP(B298,M10B!B:W,22,FALSE),0)</f>
        <v>0</v>
      </c>
      <c r="G298" s="1">
        <f t="shared" si="12"/>
        <v>0</v>
      </c>
      <c r="I298" s="17"/>
    </row>
    <row r="299" spans="1:9" x14ac:dyDescent="0.2">
      <c r="A299" s="1" t="s">
        <v>365</v>
      </c>
      <c r="B299" s="1" t="s">
        <v>113</v>
      </c>
      <c r="C299" s="1">
        <v>553015405</v>
      </c>
      <c r="D299" s="1" t="s">
        <v>112</v>
      </c>
      <c r="E299" s="15">
        <v>81109801785</v>
      </c>
      <c r="F299" s="2">
        <f>IFERROR(VLOOKUP(B299,M10B!B:W,22,FALSE),0)</f>
        <v>0</v>
      </c>
      <c r="G299" s="1">
        <f t="shared" si="12"/>
        <v>0</v>
      </c>
      <c r="I299" s="17"/>
    </row>
    <row r="300" spans="1:9" x14ac:dyDescent="0.2">
      <c r="A300" s="1" t="s">
        <v>365</v>
      </c>
      <c r="B300" s="1" t="s">
        <v>270</v>
      </c>
      <c r="C300" s="1">
        <v>553015406</v>
      </c>
      <c r="D300" s="1" t="s">
        <v>269</v>
      </c>
      <c r="E300" s="15">
        <v>81109801786</v>
      </c>
      <c r="F300" s="2">
        <f>IFERROR(VLOOKUP(B300,M10B!B:W,22,FALSE),0)</f>
        <v>0</v>
      </c>
      <c r="G300" s="1">
        <f t="shared" si="12"/>
        <v>0</v>
      </c>
      <c r="I300" s="17"/>
    </row>
    <row r="301" spans="1:9" x14ac:dyDescent="0.2">
      <c r="A301" s="1" t="s">
        <v>365</v>
      </c>
      <c r="B301" s="1" t="s">
        <v>298</v>
      </c>
      <c r="C301" s="1">
        <v>553015394</v>
      </c>
      <c r="D301" s="1" t="s">
        <v>297</v>
      </c>
      <c r="E301" s="15">
        <v>81109801775</v>
      </c>
      <c r="F301" s="2">
        <f>IFERROR(VLOOKUP(B301,M10B!B:W,22,FALSE),0)</f>
        <v>0</v>
      </c>
      <c r="G301" s="1">
        <f t="shared" si="12"/>
        <v>0</v>
      </c>
      <c r="I301" s="17"/>
    </row>
    <row r="302" spans="1:9" x14ac:dyDescent="0.2">
      <c r="A302" s="1" t="s">
        <v>365</v>
      </c>
      <c r="B302" s="1" t="s">
        <v>105</v>
      </c>
      <c r="C302" s="1">
        <v>553015571</v>
      </c>
      <c r="D302" s="1" t="s">
        <v>104</v>
      </c>
      <c r="E302" s="15">
        <v>81109801988</v>
      </c>
      <c r="F302" s="2">
        <f>IFERROR(VLOOKUP(B302,M10B!B:W,22,FALSE),0)</f>
        <v>0</v>
      </c>
      <c r="G302" s="1">
        <f t="shared" si="12"/>
        <v>0</v>
      </c>
      <c r="I302" s="17"/>
    </row>
    <row r="303" spans="1:9" x14ac:dyDescent="0.2">
      <c r="A303" s="1" t="s">
        <v>365</v>
      </c>
      <c r="B303" s="1" t="s">
        <v>21</v>
      </c>
      <c r="C303" s="1">
        <v>553015407</v>
      </c>
      <c r="D303" s="1" t="s">
        <v>20</v>
      </c>
      <c r="E303" s="15">
        <v>81109801787</v>
      </c>
      <c r="F303" s="2">
        <f>IFERROR(VLOOKUP(B303,M10B!B:W,22,FALSE),0)</f>
        <v>0</v>
      </c>
      <c r="G303" s="1">
        <f t="shared" si="12"/>
        <v>0</v>
      </c>
      <c r="I303" s="17"/>
    </row>
    <row r="304" spans="1:9" x14ac:dyDescent="0.2">
      <c r="A304" s="1" t="s">
        <v>365</v>
      </c>
      <c r="B304" s="1" t="s">
        <v>13</v>
      </c>
      <c r="C304" s="1">
        <v>553015341</v>
      </c>
      <c r="D304" s="1" t="s">
        <v>12</v>
      </c>
      <c r="E304" s="15">
        <v>81109801726</v>
      </c>
      <c r="F304" s="2">
        <f>IFERROR(VLOOKUP(B304,M10B!B:W,22,FALSE),0)</f>
        <v>0</v>
      </c>
      <c r="G304" s="1">
        <f t="shared" si="12"/>
        <v>0</v>
      </c>
      <c r="I304" s="17"/>
    </row>
    <row r="305" spans="1:9" x14ac:dyDescent="0.2">
      <c r="A305" s="1" t="s">
        <v>365</v>
      </c>
      <c r="B305" s="1" t="s">
        <v>304</v>
      </c>
      <c r="C305" s="1">
        <v>553015408</v>
      </c>
      <c r="D305" s="1" t="s">
        <v>303</v>
      </c>
      <c r="E305" s="15">
        <v>81109801788</v>
      </c>
      <c r="F305" s="2">
        <f>IFERROR(VLOOKUP(B305,M10B!B:W,22,FALSE),0)</f>
        <v>0</v>
      </c>
      <c r="G305" s="1">
        <f t="shared" si="12"/>
        <v>0</v>
      </c>
      <c r="I305" s="17"/>
    </row>
    <row r="306" spans="1:9" x14ac:dyDescent="0.2">
      <c r="A306" s="1" t="s">
        <v>365</v>
      </c>
      <c r="B306" s="1" t="s">
        <v>15</v>
      </c>
      <c r="C306" s="1">
        <v>553015402</v>
      </c>
      <c r="D306" s="1" t="s">
        <v>14</v>
      </c>
      <c r="E306" s="15">
        <v>81109801783</v>
      </c>
      <c r="F306" s="2">
        <f>IFERROR(VLOOKUP(B306,M10B!B:W,22,FALSE),0)</f>
        <v>0</v>
      </c>
      <c r="G306" s="1">
        <f t="shared" si="12"/>
        <v>0</v>
      </c>
      <c r="I306" s="17"/>
    </row>
    <row r="307" spans="1:9" x14ac:dyDescent="0.2">
      <c r="A307" s="1" t="s">
        <v>365</v>
      </c>
      <c r="B307" s="1" t="s">
        <v>25</v>
      </c>
      <c r="C307" s="1">
        <v>553015374</v>
      </c>
      <c r="D307" s="1" t="s">
        <v>24</v>
      </c>
      <c r="E307" s="15">
        <v>81109801758</v>
      </c>
      <c r="F307" s="2">
        <f>IFERROR(VLOOKUP(B307,M10B!B:W,22,FALSE),0)</f>
        <v>0</v>
      </c>
      <c r="G307" s="1">
        <f t="shared" si="12"/>
        <v>0</v>
      </c>
      <c r="I307" s="17"/>
    </row>
    <row r="308" spans="1:9" x14ac:dyDescent="0.2">
      <c r="A308" s="1" t="s">
        <v>365</v>
      </c>
      <c r="B308" s="1" t="s">
        <v>83</v>
      </c>
      <c r="C308" s="1">
        <v>553015371</v>
      </c>
      <c r="D308" s="1" t="s">
        <v>82</v>
      </c>
      <c r="E308" s="15">
        <v>81109801755</v>
      </c>
      <c r="F308" s="2">
        <f>IFERROR(VLOOKUP(B308,M10B!B:W,22,FALSE),0)</f>
        <v>0</v>
      </c>
      <c r="G308" s="1">
        <f t="shared" si="12"/>
        <v>0</v>
      </c>
      <c r="I308" s="17"/>
    </row>
    <row r="309" spans="1:9" x14ac:dyDescent="0.2">
      <c r="A309" s="1" t="s">
        <v>365</v>
      </c>
      <c r="B309" s="1" t="s">
        <v>129</v>
      </c>
      <c r="C309" s="1">
        <v>553015370</v>
      </c>
      <c r="D309" s="1" t="s">
        <v>128</v>
      </c>
      <c r="E309" s="15">
        <v>81109801754</v>
      </c>
      <c r="F309" s="2">
        <f>IFERROR(VLOOKUP(B309,M10B!B:W,22,FALSE),0)</f>
        <v>0</v>
      </c>
      <c r="G309" s="1">
        <f t="shared" si="12"/>
        <v>0</v>
      </c>
      <c r="I309" s="17"/>
    </row>
    <row r="310" spans="1:9" x14ac:dyDescent="0.2">
      <c r="A310" s="1" t="s">
        <v>365</v>
      </c>
      <c r="B310" s="1" t="s">
        <v>91</v>
      </c>
      <c r="C310" s="1">
        <v>553015366</v>
      </c>
      <c r="D310" s="1" t="s">
        <v>90</v>
      </c>
      <c r="E310" s="15">
        <v>81109801750</v>
      </c>
      <c r="F310" s="2">
        <f>IFERROR(VLOOKUP(B310,M10B!B:W,22,FALSE),0)</f>
        <v>0</v>
      </c>
      <c r="G310" s="1">
        <f t="shared" si="12"/>
        <v>0</v>
      </c>
      <c r="I310" s="17"/>
    </row>
    <row r="311" spans="1:9" x14ac:dyDescent="0.2">
      <c r="A311" s="1" t="s">
        <v>365</v>
      </c>
      <c r="B311" s="1" t="s">
        <v>145</v>
      </c>
      <c r="C311" s="1">
        <v>553015365</v>
      </c>
      <c r="D311" s="1" t="s">
        <v>144</v>
      </c>
      <c r="E311" s="15">
        <v>81109801749</v>
      </c>
      <c r="F311" s="2">
        <f>IFERROR(VLOOKUP(B311,M10B!B:W,22,FALSE),0)</f>
        <v>0</v>
      </c>
      <c r="G311" s="1">
        <f t="shared" si="12"/>
        <v>0</v>
      </c>
      <c r="I311" s="17"/>
    </row>
    <row r="312" spans="1:9" x14ac:dyDescent="0.2">
      <c r="A312" s="1" t="s">
        <v>365</v>
      </c>
      <c r="B312" s="1" t="s">
        <v>257</v>
      </c>
      <c r="C312" s="1">
        <v>553015372</v>
      </c>
      <c r="D312" s="1" t="s">
        <v>256</v>
      </c>
      <c r="E312" s="15">
        <v>81109801756</v>
      </c>
      <c r="F312" s="2">
        <f>IFERROR(VLOOKUP(B312,M10B!B:W,22,FALSE),0)</f>
        <v>0</v>
      </c>
      <c r="G312" s="1">
        <f t="shared" si="12"/>
        <v>0</v>
      </c>
      <c r="I312" s="17"/>
    </row>
    <row r="313" spans="1:9" x14ac:dyDescent="0.2">
      <c r="A313" s="1" t="s">
        <v>365</v>
      </c>
      <c r="B313" s="1" t="s">
        <v>149</v>
      </c>
      <c r="C313" s="1">
        <v>553015369</v>
      </c>
      <c r="D313" s="1" t="s">
        <v>148</v>
      </c>
      <c r="E313" s="15">
        <v>81109801753</v>
      </c>
      <c r="F313" s="2">
        <f>IFERROR(VLOOKUP(B313,M10B!B:W,22,FALSE),0)</f>
        <v>0</v>
      </c>
      <c r="G313" s="1">
        <f t="shared" si="12"/>
        <v>0</v>
      </c>
      <c r="I313" s="17"/>
    </row>
    <row r="314" spans="1:9" x14ac:dyDescent="0.2">
      <c r="A314" s="1" t="s">
        <v>365</v>
      </c>
      <c r="B314" s="1" t="s">
        <v>95</v>
      </c>
      <c r="C314" s="1">
        <v>553015373</v>
      </c>
      <c r="D314" s="1" t="s">
        <v>94</v>
      </c>
      <c r="E314" s="15">
        <v>81109801757</v>
      </c>
      <c r="F314" s="2">
        <f>IFERROR(VLOOKUP(B314,M10B!B:W,22,FALSE),0)</f>
        <v>0</v>
      </c>
      <c r="G314" s="1">
        <f t="shared" si="12"/>
        <v>0</v>
      </c>
      <c r="I314" s="17"/>
    </row>
    <row r="315" spans="1:9" x14ac:dyDescent="0.2">
      <c r="A315" s="1" t="s">
        <v>365</v>
      </c>
      <c r="B315" s="1" t="s">
        <v>302</v>
      </c>
      <c r="C315" s="1">
        <v>553015367</v>
      </c>
      <c r="D315" s="1" t="s">
        <v>301</v>
      </c>
      <c r="E315" s="15">
        <v>81109801751</v>
      </c>
      <c r="F315" s="2">
        <f>IFERROR(VLOOKUP(B315,M10B!B:W,22,FALSE),0)</f>
        <v>0</v>
      </c>
      <c r="G315" s="1">
        <f t="shared" si="12"/>
        <v>0</v>
      </c>
      <c r="I315" s="17"/>
    </row>
    <row r="316" spans="1:9" x14ac:dyDescent="0.2">
      <c r="A316" s="1" t="s">
        <v>365</v>
      </c>
      <c r="B316" s="1" t="s">
        <v>97</v>
      </c>
      <c r="C316" s="1">
        <v>553015375</v>
      </c>
      <c r="D316" s="1" t="s">
        <v>96</v>
      </c>
      <c r="E316" s="15">
        <v>81109801759</v>
      </c>
      <c r="F316" s="2">
        <f>IFERROR(VLOOKUP(B316,M10B!B:W,22,FALSE),0)</f>
        <v>0</v>
      </c>
      <c r="G316" s="1">
        <f t="shared" si="12"/>
        <v>0</v>
      </c>
      <c r="I316" s="17"/>
    </row>
    <row r="317" spans="1:9" x14ac:dyDescent="0.2">
      <c r="A317" s="1" t="s">
        <v>365</v>
      </c>
      <c r="B317" s="1" t="s">
        <v>161</v>
      </c>
      <c r="C317" s="1">
        <v>553015377</v>
      </c>
      <c r="D317" s="1" t="s">
        <v>160</v>
      </c>
      <c r="E317" s="15">
        <v>81109801761</v>
      </c>
      <c r="F317" s="2">
        <f>IFERROR(VLOOKUP(B317,M10B!B:W,22,FALSE),0)</f>
        <v>0</v>
      </c>
      <c r="G317" s="1">
        <f t="shared" si="12"/>
        <v>0</v>
      </c>
      <c r="I317" s="17"/>
    </row>
    <row r="318" spans="1:9" x14ac:dyDescent="0.2">
      <c r="A318" s="1" t="s">
        <v>365</v>
      </c>
      <c r="B318" s="1" t="s">
        <v>178</v>
      </c>
      <c r="C318" s="1">
        <v>553015398</v>
      </c>
      <c r="D318" s="1" t="s">
        <v>177</v>
      </c>
      <c r="E318" s="15">
        <v>81109801779</v>
      </c>
      <c r="F318" s="2">
        <f>IFERROR(VLOOKUP(B318,M10B!B:W,22,FALSE),0)</f>
        <v>0</v>
      </c>
      <c r="G318" s="1">
        <f t="shared" si="12"/>
        <v>0</v>
      </c>
      <c r="I318" s="17"/>
    </row>
    <row r="319" spans="1:9" x14ac:dyDescent="0.2">
      <c r="A319" s="1" t="s">
        <v>365</v>
      </c>
      <c r="B319" s="1" t="s">
        <v>163</v>
      </c>
      <c r="C319" s="1">
        <v>553015364</v>
      </c>
      <c r="D319" s="1" t="s">
        <v>162</v>
      </c>
      <c r="E319" s="15">
        <v>81109801748</v>
      </c>
      <c r="F319" s="2">
        <f>IFERROR(VLOOKUP(B319,M10B!B:W,22,FALSE),0)</f>
        <v>0</v>
      </c>
      <c r="G319" s="1">
        <f t="shared" si="12"/>
        <v>0</v>
      </c>
      <c r="I319" s="17"/>
    </row>
    <row r="320" spans="1:9" x14ac:dyDescent="0.2">
      <c r="A320" s="1" t="s">
        <v>365</v>
      </c>
      <c r="B320" s="1" t="s">
        <v>89</v>
      </c>
      <c r="C320" s="1">
        <v>553015376</v>
      </c>
      <c r="D320" s="1" t="s">
        <v>88</v>
      </c>
      <c r="E320" s="15">
        <v>81109801760</v>
      </c>
      <c r="F320" s="2">
        <f>IFERROR(VLOOKUP(B320,M10B!B:W,22,FALSE),0)</f>
        <v>0</v>
      </c>
      <c r="G320" s="1">
        <f t="shared" si="12"/>
        <v>0</v>
      </c>
      <c r="I320" s="17"/>
    </row>
    <row r="321" spans="1:9" x14ac:dyDescent="0.2">
      <c r="A321" s="1" t="s">
        <v>365</v>
      </c>
      <c r="B321" s="1" t="s">
        <v>153</v>
      </c>
      <c r="C321" s="1">
        <v>553015378</v>
      </c>
      <c r="D321" s="1" t="s">
        <v>152</v>
      </c>
      <c r="E321" s="15">
        <v>81109801762</v>
      </c>
      <c r="F321" s="2">
        <f>IFERROR(VLOOKUP(B321,M10B!B:W,22,FALSE),0)</f>
        <v>0</v>
      </c>
      <c r="G321" s="1">
        <f t="shared" si="12"/>
        <v>0</v>
      </c>
      <c r="I321" s="17"/>
    </row>
    <row r="322" spans="1:9" x14ac:dyDescent="0.2">
      <c r="A322" s="1" t="s">
        <v>365</v>
      </c>
      <c r="B322" s="1" t="s">
        <v>356</v>
      </c>
      <c r="C322" s="1">
        <v>553015379</v>
      </c>
      <c r="D322" s="1" t="s">
        <v>355</v>
      </c>
      <c r="E322" s="15">
        <v>81109801763</v>
      </c>
      <c r="F322" s="2">
        <f>IFERROR(VLOOKUP(B322,M10B!B:W,22,FALSE),0)</f>
        <v>0</v>
      </c>
      <c r="G322" s="1">
        <f t="shared" si="12"/>
        <v>0</v>
      </c>
      <c r="I322" s="17"/>
    </row>
    <row r="323" spans="1:9" x14ac:dyDescent="0.2">
      <c r="A323" s="1" t="s">
        <v>365</v>
      </c>
      <c r="B323" s="1" t="s">
        <v>229</v>
      </c>
      <c r="C323" s="1">
        <v>555258253</v>
      </c>
      <c r="D323" s="1" t="s">
        <v>228</v>
      </c>
      <c r="E323" s="15">
        <v>81109801834</v>
      </c>
      <c r="F323" s="2">
        <f>IFERROR(VLOOKUP(B323,M10B!B:W,22,FALSE),0)</f>
        <v>0</v>
      </c>
      <c r="G323" s="1">
        <f t="shared" si="12"/>
        <v>0</v>
      </c>
      <c r="I323" s="17"/>
    </row>
    <row r="324" spans="1:9" x14ac:dyDescent="0.2">
      <c r="A324" s="1" t="s">
        <v>365</v>
      </c>
      <c r="B324" s="1" t="s">
        <v>312</v>
      </c>
      <c r="C324" s="1">
        <v>553015360</v>
      </c>
      <c r="D324" s="1" t="s">
        <v>311</v>
      </c>
      <c r="E324" s="15">
        <v>81109801744</v>
      </c>
      <c r="F324" s="2">
        <f>IFERROR(VLOOKUP(B324,M10B!B:W,22,FALSE),0)</f>
        <v>0</v>
      </c>
      <c r="G324" s="1">
        <f t="shared" ref="G324:G351" si="13">CEILING(F324,80)</f>
        <v>0</v>
      </c>
      <c r="I324" s="17"/>
    </row>
    <row r="325" spans="1:9" x14ac:dyDescent="0.2">
      <c r="A325" s="1" t="s">
        <v>365</v>
      </c>
      <c r="B325" s="1" t="s">
        <v>241</v>
      </c>
      <c r="C325" s="1">
        <v>553015459</v>
      </c>
      <c r="D325" s="1" t="s">
        <v>240</v>
      </c>
      <c r="E325" s="15">
        <v>81109801841</v>
      </c>
      <c r="F325" s="2">
        <f>IFERROR(VLOOKUP(B325,M10B!B:W,22,FALSE),0)</f>
        <v>0</v>
      </c>
      <c r="G325" s="1">
        <f t="shared" si="13"/>
        <v>0</v>
      </c>
      <c r="I325" s="17"/>
    </row>
    <row r="326" spans="1:9" x14ac:dyDescent="0.2">
      <c r="A326" s="1" t="s">
        <v>365</v>
      </c>
      <c r="B326" s="1" t="s">
        <v>330</v>
      </c>
      <c r="C326" s="1">
        <v>553015359</v>
      </c>
      <c r="D326" s="1" t="s">
        <v>329</v>
      </c>
      <c r="E326" s="15">
        <v>81109801743</v>
      </c>
      <c r="F326" s="2">
        <f>IFERROR(VLOOKUP(B326,M10B!B:W,22,FALSE),0)</f>
        <v>0</v>
      </c>
      <c r="G326" s="1">
        <f t="shared" si="13"/>
        <v>0</v>
      </c>
      <c r="I326" s="17"/>
    </row>
    <row r="327" spans="1:9" x14ac:dyDescent="0.2">
      <c r="A327" s="1" t="s">
        <v>365</v>
      </c>
      <c r="B327" s="1" t="s">
        <v>274</v>
      </c>
      <c r="C327" s="1">
        <v>553015351</v>
      </c>
      <c r="D327" s="1" t="s">
        <v>273</v>
      </c>
      <c r="E327" s="15">
        <v>81109801736</v>
      </c>
      <c r="F327" s="2">
        <f>IFERROR(VLOOKUP(B327,M10B!B:W,22,FALSE),0)</f>
        <v>0</v>
      </c>
      <c r="G327" s="1">
        <f t="shared" si="13"/>
        <v>0</v>
      </c>
      <c r="I327" s="17"/>
    </row>
    <row r="328" spans="1:9" x14ac:dyDescent="0.2">
      <c r="A328" s="1" t="s">
        <v>365</v>
      </c>
      <c r="B328" s="1" t="s">
        <v>139</v>
      </c>
      <c r="C328" s="1">
        <v>553015514</v>
      </c>
      <c r="D328" s="1" t="s">
        <v>138</v>
      </c>
      <c r="E328" s="15">
        <v>81109801946</v>
      </c>
      <c r="F328" s="2">
        <f>IFERROR(VLOOKUP(B328,M10B!B:W,22,FALSE),0)</f>
        <v>0</v>
      </c>
      <c r="G328" s="1">
        <f t="shared" si="13"/>
        <v>0</v>
      </c>
      <c r="I328" s="17"/>
    </row>
    <row r="329" spans="1:9" x14ac:dyDescent="0.2">
      <c r="A329" s="1" t="s">
        <v>365</v>
      </c>
      <c r="B329" s="1" t="s">
        <v>262</v>
      </c>
      <c r="C329" s="1">
        <v>553015361</v>
      </c>
      <c r="D329" s="1" t="s">
        <v>261</v>
      </c>
      <c r="E329" s="15">
        <v>81109801745</v>
      </c>
      <c r="F329" s="2">
        <f>IFERROR(VLOOKUP(B329,M10B!B:W,22,FALSE),0)</f>
        <v>0</v>
      </c>
      <c r="G329" s="1">
        <f t="shared" si="13"/>
        <v>0</v>
      </c>
      <c r="I329" s="17"/>
    </row>
    <row r="330" spans="1:9" x14ac:dyDescent="0.2">
      <c r="A330" s="1" t="s">
        <v>365</v>
      </c>
      <c r="B330" s="1" t="s">
        <v>151</v>
      </c>
      <c r="C330" s="1">
        <v>553015356</v>
      </c>
      <c r="D330" s="1" t="s">
        <v>150</v>
      </c>
      <c r="E330" s="15">
        <v>81109801740</v>
      </c>
      <c r="F330" s="2">
        <f>IFERROR(VLOOKUP(B330,M10B!B:W,22,FALSE),0)</f>
        <v>0</v>
      </c>
      <c r="G330" s="1">
        <f t="shared" si="13"/>
        <v>0</v>
      </c>
      <c r="I330" s="17"/>
    </row>
    <row r="331" spans="1:9" x14ac:dyDescent="0.2">
      <c r="A331" s="1" t="s">
        <v>365</v>
      </c>
      <c r="B331" s="1" t="s">
        <v>99</v>
      </c>
      <c r="C331" s="1">
        <v>553015392</v>
      </c>
      <c r="D331" s="1" t="s">
        <v>98</v>
      </c>
      <c r="E331" s="15">
        <v>81109801773</v>
      </c>
      <c r="F331" s="2">
        <f>IFERROR(VLOOKUP(B331,M10B!B:W,22,FALSE),0)</f>
        <v>0</v>
      </c>
      <c r="G331" s="1">
        <f t="shared" si="13"/>
        <v>0</v>
      </c>
      <c r="I331" s="17"/>
    </row>
    <row r="332" spans="1:9" x14ac:dyDescent="0.2">
      <c r="A332" s="1" t="s">
        <v>365</v>
      </c>
      <c r="B332" s="1" t="s">
        <v>255</v>
      </c>
      <c r="C332" s="1">
        <v>553015354</v>
      </c>
      <c r="D332" s="1" t="s">
        <v>254</v>
      </c>
      <c r="E332" s="15">
        <v>81109801738</v>
      </c>
      <c r="F332" s="2">
        <f>IFERROR(VLOOKUP(B332,M10B!B:W,22,FALSE),0)</f>
        <v>0</v>
      </c>
      <c r="G332" s="1">
        <f t="shared" si="13"/>
        <v>0</v>
      </c>
      <c r="I332" s="17"/>
    </row>
    <row r="333" spans="1:9" x14ac:dyDescent="0.2">
      <c r="A333" s="1" t="s">
        <v>365</v>
      </c>
      <c r="B333" s="1" t="s">
        <v>135</v>
      </c>
      <c r="C333" s="1">
        <v>553015552</v>
      </c>
      <c r="D333" s="1" t="s">
        <v>134</v>
      </c>
      <c r="E333" s="15">
        <v>81109801972</v>
      </c>
      <c r="F333" s="2">
        <f>IFERROR(VLOOKUP(B333,M10B!B:W,22,FALSE),0)</f>
        <v>0</v>
      </c>
      <c r="G333" s="1">
        <f t="shared" si="13"/>
        <v>0</v>
      </c>
      <c r="I333" s="17"/>
    </row>
    <row r="334" spans="1:9" x14ac:dyDescent="0.2">
      <c r="A334" s="1" t="s">
        <v>365</v>
      </c>
      <c r="B334" s="1" t="s">
        <v>227</v>
      </c>
      <c r="C334" s="1">
        <v>553015383</v>
      </c>
      <c r="D334" s="1" t="s">
        <v>226</v>
      </c>
      <c r="E334" s="15">
        <v>81109801767</v>
      </c>
      <c r="F334" s="2">
        <f>IFERROR(VLOOKUP(B334,M10B!B:W,22,FALSE),0)</f>
        <v>0</v>
      </c>
      <c r="G334" s="1">
        <f t="shared" si="13"/>
        <v>0</v>
      </c>
      <c r="I334" s="17"/>
    </row>
    <row r="335" spans="1:9" x14ac:dyDescent="0.2">
      <c r="A335" s="1" t="s">
        <v>365</v>
      </c>
      <c r="B335" s="1" t="s">
        <v>268</v>
      </c>
      <c r="C335" s="1">
        <v>553015386</v>
      </c>
      <c r="D335" s="1" t="s">
        <v>267</v>
      </c>
      <c r="E335" s="15">
        <v>81109801770</v>
      </c>
      <c r="F335" s="2">
        <f>IFERROR(VLOOKUP(B335,M10B!B:W,22,FALSE),0)</f>
        <v>0</v>
      </c>
      <c r="G335" s="1">
        <f t="shared" si="13"/>
        <v>0</v>
      </c>
      <c r="I335" s="17"/>
    </row>
    <row r="336" spans="1:9" x14ac:dyDescent="0.2">
      <c r="A336" s="1" t="s">
        <v>365</v>
      </c>
      <c r="B336" s="1" t="s">
        <v>159</v>
      </c>
      <c r="C336" s="1">
        <v>553015385</v>
      </c>
      <c r="D336" s="1" t="s">
        <v>158</v>
      </c>
      <c r="E336" s="15">
        <v>81109801769</v>
      </c>
      <c r="F336" s="2">
        <f>IFERROR(VLOOKUP(B336,M10B!B:W,22,FALSE),0)</f>
        <v>0</v>
      </c>
      <c r="G336" s="1">
        <f t="shared" si="13"/>
        <v>0</v>
      </c>
      <c r="I336" s="17"/>
    </row>
    <row r="337" spans="1:9" x14ac:dyDescent="0.2">
      <c r="A337" s="1" t="s">
        <v>365</v>
      </c>
      <c r="B337" s="1" t="s">
        <v>11</v>
      </c>
      <c r="C337" s="1">
        <v>553015381</v>
      </c>
      <c r="D337" s="1" t="s">
        <v>10</v>
      </c>
      <c r="E337" s="15">
        <v>81109801765</v>
      </c>
      <c r="F337" s="2">
        <f>IFERROR(VLOOKUP(B337,M10B!B:W,22,FALSE),0)</f>
        <v>0</v>
      </c>
      <c r="G337" s="1">
        <f t="shared" si="13"/>
        <v>0</v>
      </c>
      <c r="I337" s="17"/>
    </row>
    <row r="338" spans="1:9" x14ac:dyDescent="0.2">
      <c r="A338" s="1" t="s">
        <v>365</v>
      </c>
      <c r="B338" s="1" t="s">
        <v>23</v>
      </c>
      <c r="C338" s="1">
        <v>553015335</v>
      </c>
      <c r="D338" s="1" t="s">
        <v>22</v>
      </c>
      <c r="E338" s="15">
        <v>81109801720</v>
      </c>
      <c r="F338" s="2">
        <f>IFERROR(VLOOKUP(B338,M10B!B:W,22,FALSE),0)</f>
        <v>0</v>
      </c>
      <c r="G338" s="1">
        <f t="shared" si="13"/>
        <v>0</v>
      </c>
      <c r="I338" s="17"/>
    </row>
    <row r="339" spans="1:9" x14ac:dyDescent="0.2">
      <c r="A339" s="1" t="s">
        <v>365</v>
      </c>
      <c r="B339" s="1" t="s">
        <v>7</v>
      </c>
      <c r="C339" s="1">
        <v>553015417</v>
      </c>
      <c r="D339" s="1" t="s">
        <v>6</v>
      </c>
      <c r="E339" s="15">
        <v>81109801797</v>
      </c>
      <c r="F339" s="2">
        <f>IFERROR(VLOOKUP(B339,M10B!B:W,22,FALSE),0)</f>
        <v>0</v>
      </c>
      <c r="G339" s="1">
        <f t="shared" si="13"/>
        <v>0</v>
      </c>
      <c r="I339" s="17"/>
    </row>
    <row r="340" spans="1:9" x14ac:dyDescent="0.2">
      <c r="A340" s="1" t="s">
        <v>365</v>
      </c>
      <c r="B340" s="1" t="s">
        <v>212</v>
      </c>
      <c r="C340" s="1">
        <v>553015382</v>
      </c>
      <c r="D340" s="1" t="s">
        <v>211</v>
      </c>
      <c r="E340" s="15">
        <v>81109801766</v>
      </c>
      <c r="F340" s="2">
        <f>IFERROR(VLOOKUP(B340,M10B!B:W,22,FALSE),0)</f>
        <v>0</v>
      </c>
      <c r="G340" s="1">
        <f t="shared" si="13"/>
        <v>0</v>
      </c>
      <c r="I340" s="17"/>
    </row>
    <row r="341" spans="1:9" x14ac:dyDescent="0.2">
      <c r="A341" s="1" t="s">
        <v>365</v>
      </c>
      <c r="B341" s="1" t="s">
        <v>300</v>
      </c>
      <c r="C341" s="1">
        <v>553015463</v>
      </c>
      <c r="D341" s="1" t="s">
        <v>299</v>
      </c>
      <c r="E341" s="15">
        <v>81109801845</v>
      </c>
      <c r="F341" s="2">
        <f>IFERROR(VLOOKUP(B341,M10B!B:W,22,FALSE),0)</f>
        <v>0</v>
      </c>
      <c r="G341" s="1">
        <f t="shared" si="13"/>
        <v>0</v>
      </c>
      <c r="I341" s="17"/>
    </row>
    <row r="342" spans="1:9" x14ac:dyDescent="0.2">
      <c r="A342" s="1" t="s">
        <v>365</v>
      </c>
      <c r="B342" s="1" t="s">
        <v>200</v>
      </c>
      <c r="C342" s="1">
        <v>553015445</v>
      </c>
      <c r="D342" s="1" t="s">
        <v>199</v>
      </c>
      <c r="E342" s="15">
        <v>81109801826</v>
      </c>
      <c r="F342" s="2">
        <f>IFERROR(VLOOKUP(B342,M10B!B:W,22,FALSE),0)</f>
        <v>0</v>
      </c>
      <c r="G342" s="1">
        <f t="shared" si="13"/>
        <v>0</v>
      </c>
      <c r="I342" s="17"/>
    </row>
    <row r="343" spans="1:9" x14ac:dyDescent="0.2">
      <c r="A343" s="1" t="s">
        <v>365</v>
      </c>
      <c r="B343" s="1" t="s">
        <v>350</v>
      </c>
      <c r="C343" s="1">
        <v>553015460</v>
      </c>
      <c r="D343" s="1" t="s">
        <v>349</v>
      </c>
      <c r="E343" s="15">
        <v>81109801842</v>
      </c>
      <c r="F343" s="2">
        <f>IFERROR(VLOOKUP(B343,M10B!B:W,22,FALSE),0)</f>
        <v>0</v>
      </c>
      <c r="G343" s="1">
        <f t="shared" si="13"/>
        <v>0</v>
      </c>
      <c r="I343" s="17"/>
    </row>
    <row r="344" spans="1:9" x14ac:dyDescent="0.2">
      <c r="A344" s="1" t="s">
        <v>365</v>
      </c>
      <c r="B344" s="1" t="s">
        <v>5</v>
      </c>
      <c r="C344" s="1">
        <v>553015333</v>
      </c>
      <c r="D344" s="1" t="s">
        <v>4</v>
      </c>
      <c r="E344" s="15">
        <v>81109801718</v>
      </c>
      <c r="F344" s="2">
        <f>IFERROR(VLOOKUP(B344,M10B!B:W,22,FALSE),0)</f>
        <v>0</v>
      </c>
      <c r="G344" s="1">
        <f t="shared" si="13"/>
        <v>0</v>
      </c>
      <c r="I344" s="17"/>
    </row>
    <row r="345" spans="1:9" x14ac:dyDescent="0.2">
      <c r="A345" s="1" t="s">
        <v>365</v>
      </c>
      <c r="B345" s="1" t="s">
        <v>17</v>
      </c>
      <c r="C345" s="1">
        <v>553015339</v>
      </c>
      <c r="D345" s="1" t="s">
        <v>16</v>
      </c>
      <c r="E345" s="15">
        <v>81109801724</v>
      </c>
      <c r="F345" s="2">
        <f>IFERROR(VLOOKUP(B345,M10B!B:W,22,FALSE),0)</f>
        <v>0</v>
      </c>
      <c r="G345" s="1">
        <f t="shared" si="13"/>
        <v>0</v>
      </c>
      <c r="I345" s="17"/>
    </row>
    <row r="346" spans="1:9" x14ac:dyDescent="0.2">
      <c r="A346" s="1" t="s">
        <v>485</v>
      </c>
      <c r="B346" s="1" t="s">
        <v>493</v>
      </c>
      <c r="C346" s="1">
        <v>558137560</v>
      </c>
      <c r="D346" s="1" t="s">
        <v>492</v>
      </c>
      <c r="E346" s="15">
        <v>81446902784</v>
      </c>
      <c r="F346" s="2">
        <f>IFERROR(VLOOKUP(B346,M10B!B:W,22,FALSE),0)</f>
        <v>0</v>
      </c>
      <c r="G346" s="1">
        <f t="shared" si="13"/>
        <v>0</v>
      </c>
      <c r="I346" s="17"/>
    </row>
    <row r="347" spans="1:9" x14ac:dyDescent="0.2">
      <c r="A347" s="1" t="s">
        <v>485</v>
      </c>
      <c r="B347" s="1" t="s">
        <v>495</v>
      </c>
      <c r="C347" s="1">
        <v>558137569</v>
      </c>
      <c r="D347" s="1" t="s">
        <v>494</v>
      </c>
      <c r="E347" s="15">
        <v>81446902788</v>
      </c>
      <c r="F347" s="2">
        <f>IFERROR(VLOOKUP(B347,M10B!B:W,22,FALSE),0)</f>
        <v>0</v>
      </c>
      <c r="G347" s="1">
        <f t="shared" si="13"/>
        <v>0</v>
      </c>
      <c r="I347" s="17"/>
    </row>
    <row r="348" spans="1:9" x14ac:dyDescent="0.2">
      <c r="A348" s="1" t="s">
        <v>485</v>
      </c>
      <c r="B348" s="1" t="s">
        <v>497</v>
      </c>
      <c r="C348" s="1">
        <v>558137557</v>
      </c>
      <c r="D348" s="1" t="s">
        <v>496</v>
      </c>
      <c r="E348" s="15">
        <v>81446902792</v>
      </c>
      <c r="F348" s="2">
        <f>IFERROR(VLOOKUP(B348,M10B!B:W,22,FALSE),0)</f>
        <v>0</v>
      </c>
      <c r="G348" s="1">
        <f t="shared" si="13"/>
        <v>0</v>
      </c>
      <c r="I348" s="17"/>
    </row>
    <row r="349" spans="1:9" x14ac:dyDescent="0.2">
      <c r="A349" s="1" t="s">
        <v>485</v>
      </c>
      <c r="B349" s="1" t="s">
        <v>499</v>
      </c>
      <c r="C349" s="1">
        <v>558137535</v>
      </c>
      <c r="D349" s="1" t="s">
        <v>498</v>
      </c>
      <c r="E349" s="15">
        <v>81446902785</v>
      </c>
      <c r="F349" s="2">
        <f>IFERROR(VLOOKUP(B349,M10B!B:W,22,FALSE),0)</f>
        <v>0</v>
      </c>
      <c r="G349" s="1">
        <f t="shared" si="13"/>
        <v>0</v>
      </c>
      <c r="I349" s="17"/>
    </row>
    <row r="350" spans="1:9" x14ac:dyDescent="0.2">
      <c r="A350" s="1" t="s">
        <v>485</v>
      </c>
      <c r="B350" s="1" t="s">
        <v>501</v>
      </c>
      <c r="C350" s="1">
        <v>558137568</v>
      </c>
      <c r="D350" s="1" t="s">
        <v>500</v>
      </c>
      <c r="E350" s="15">
        <v>81446902786</v>
      </c>
      <c r="F350" s="2">
        <f>IFERROR(VLOOKUP(B350,M10B!B:W,22,FALSE),0)</f>
        <v>0</v>
      </c>
      <c r="G350" s="1">
        <f t="shared" si="13"/>
        <v>0</v>
      </c>
      <c r="I350" s="17"/>
    </row>
    <row r="351" spans="1:9" x14ac:dyDescent="0.2">
      <c r="A351" s="1" t="s">
        <v>485</v>
      </c>
      <c r="B351" s="1" t="s">
        <v>503</v>
      </c>
      <c r="C351" s="1">
        <v>558137562</v>
      </c>
      <c r="D351" s="1" t="s">
        <v>502</v>
      </c>
      <c r="E351" s="15">
        <v>81446902781</v>
      </c>
      <c r="F351" s="2">
        <f>IFERROR(VLOOKUP(B351,M10B!B:W,22,FALSE),0)</f>
        <v>0</v>
      </c>
      <c r="G351" s="1">
        <f t="shared" si="13"/>
        <v>0</v>
      </c>
      <c r="I351" s="17"/>
    </row>
    <row r="352" spans="1:9" x14ac:dyDescent="0.2">
      <c r="A352" s="1" t="s">
        <v>485</v>
      </c>
      <c r="B352" s="1" t="s">
        <v>491</v>
      </c>
      <c r="C352" s="1">
        <v>558137536</v>
      </c>
      <c r="D352" s="1" t="s">
        <v>490</v>
      </c>
      <c r="E352" s="15">
        <v>81446902794</v>
      </c>
      <c r="F352" s="2">
        <f>IFERROR(VLOOKUP(B352,M10B!B:W,22,FALSE),0)</f>
        <v>0</v>
      </c>
      <c r="G352" s="1">
        <f>CEILING(F352,150)</f>
        <v>0</v>
      </c>
      <c r="I352" s="17"/>
    </row>
    <row r="353" spans="1:9" x14ac:dyDescent="0.2">
      <c r="A353" s="1" t="s">
        <v>485</v>
      </c>
      <c r="B353" s="1" t="s">
        <v>487</v>
      </c>
      <c r="C353" s="1">
        <v>558137555</v>
      </c>
      <c r="D353" s="1" t="s">
        <v>486</v>
      </c>
      <c r="E353" s="15">
        <v>81446902778</v>
      </c>
      <c r="F353" s="2">
        <f>IFERROR(VLOOKUP(B353,M10B!B:W,22,FALSE),0)</f>
        <v>0</v>
      </c>
      <c r="G353" s="1">
        <f>CEILING(F353,80)</f>
        <v>0</v>
      </c>
      <c r="I353" s="17"/>
    </row>
    <row r="354" spans="1:9" x14ac:dyDescent="0.2">
      <c r="A354" s="1" t="s">
        <v>485</v>
      </c>
      <c r="B354" s="1" t="s">
        <v>489</v>
      </c>
      <c r="C354" s="1">
        <v>558137570</v>
      </c>
      <c r="D354" s="1" t="s">
        <v>488</v>
      </c>
      <c r="E354" s="15">
        <v>81446902780</v>
      </c>
      <c r="F354" s="2">
        <f>IFERROR(VLOOKUP(B354,M10B!B:W,22,FALSE),0)</f>
        <v>0</v>
      </c>
      <c r="G354" s="1">
        <f>CEILING(F354,80)</f>
        <v>0</v>
      </c>
      <c r="I354" s="17"/>
    </row>
    <row r="355" spans="1:9" x14ac:dyDescent="0.2">
      <c r="A355" s="1" t="s">
        <v>370</v>
      </c>
      <c r="B355" s="1" t="s">
        <v>1067</v>
      </c>
      <c r="C355" s="1">
        <v>557968918</v>
      </c>
      <c r="D355" s="2" t="s">
        <v>1068</v>
      </c>
      <c r="E355" s="10">
        <v>74513891620</v>
      </c>
      <c r="F355" s="2">
        <f>IFERROR(VLOOKUP(B355,M10B!B:W,22,FALSE),0)</f>
        <v>0</v>
      </c>
      <c r="G355" s="1">
        <f>CEILING(F355,80)</f>
        <v>0</v>
      </c>
      <c r="I355" s="17"/>
    </row>
    <row r="356" spans="1:9" x14ac:dyDescent="0.2">
      <c r="A356" s="1" t="s">
        <v>370</v>
      </c>
      <c r="B356" s="1" t="s">
        <v>1113</v>
      </c>
      <c r="C356" s="1">
        <v>557968908</v>
      </c>
      <c r="D356" s="2" t="s">
        <v>1114</v>
      </c>
      <c r="E356" s="10">
        <v>74513891604</v>
      </c>
      <c r="F356" s="2">
        <f>IFERROR(VLOOKUP(B356,M10B!B:W,22,FALSE),0)</f>
        <v>0</v>
      </c>
      <c r="G356" s="1">
        <f>CEILING(F356,288)</f>
        <v>0</v>
      </c>
      <c r="I356" s="17"/>
    </row>
    <row r="357" spans="1:9" x14ac:dyDescent="0.2">
      <c r="A357" s="1" t="s">
        <v>370</v>
      </c>
      <c r="B357" s="1" t="s">
        <v>1105</v>
      </c>
      <c r="C357" s="1">
        <v>553671150</v>
      </c>
      <c r="D357" s="2" t="s">
        <v>1106</v>
      </c>
      <c r="E357" s="10">
        <v>74513890117</v>
      </c>
      <c r="F357" s="2">
        <f>IFERROR(VLOOKUP(B357,M10B!B:W,22,FALSE),0)</f>
        <v>0</v>
      </c>
      <c r="G357" s="1">
        <f>CEILING(F357,80)</f>
        <v>0</v>
      </c>
      <c r="I357" s="17"/>
    </row>
    <row r="358" spans="1:9" x14ac:dyDescent="0.2">
      <c r="A358" s="1" t="s">
        <v>370</v>
      </c>
      <c r="B358" s="1" t="s">
        <v>1063</v>
      </c>
      <c r="C358" s="1">
        <v>557968939</v>
      </c>
      <c r="D358" s="2" t="s">
        <v>1064</v>
      </c>
      <c r="E358" s="10">
        <v>74513891617</v>
      </c>
      <c r="F358" s="2">
        <f>IFERROR(VLOOKUP(B358,M10B!B:W,22,FALSE),0)</f>
        <v>0</v>
      </c>
      <c r="G358" s="1">
        <f t="shared" ref="G358:G371" si="14">CEILING(F358,288)</f>
        <v>0</v>
      </c>
      <c r="I358" s="17"/>
    </row>
    <row r="359" spans="1:9" x14ac:dyDescent="0.2">
      <c r="A359" s="1" t="s">
        <v>370</v>
      </c>
      <c r="B359" s="1" t="s">
        <v>1065</v>
      </c>
      <c r="C359" s="1">
        <v>557968917</v>
      </c>
      <c r="D359" s="2" t="s">
        <v>1066</v>
      </c>
      <c r="E359" s="10">
        <v>74513891618</v>
      </c>
      <c r="F359" s="2">
        <f>IFERROR(VLOOKUP(B359,M10B!B:W,22,FALSE),0)</f>
        <v>0</v>
      </c>
      <c r="G359" s="1">
        <f t="shared" si="14"/>
        <v>0</v>
      </c>
      <c r="I359" s="17"/>
    </row>
    <row r="360" spans="1:9" x14ac:dyDescent="0.2">
      <c r="A360" s="1" t="s">
        <v>370</v>
      </c>
      <c r="B360" s="1" t="s">
        <v>1071</v>
      </c>
      <c r="C360" s="1">
        <v>557968912</v>
      </c>
      <c r="D360" s="2" t="s">
        <v>1072</v>
      </c>
      <c r="E360" s="10">
        <v>74513891623</v>
      </c>
      <c r="F360" s="2">
        <f>IFERROR(VLOOKUP(B360,M10B!B:W,22,FALSE),0)</f>
        <v>0</v>
      </c>
      <c r="G360" s="1">
        <f t="shared" si="14"/>
        <v>0</v>
      </c>
      <c r="I360" s="17"/>
    </row>
    <row r="361" spans="1:9" x14ac:dyDescent="0.2">
      <c r="A361" s="1" t="s">
        <v>370</v>
      </c>
      <c r="B361" s="1" t="s">
        <v>1060</v>
      </c>
      <c r="C361" s="1">
        <v>568940360</v>
      </c>
      <c r="D361" s="2" t="s">
        <v>1061</v>
      </c>
      <c r="E361" s="10">
        <v>74513891991</v>
      </c>
      <c r="F361" s="2">
        <f>IFERROR(VLOOKUP(B361,M10B!B:W,22,FALSE),0)</f>
        <v>0</v>
      </c>
      <c r="G361" s="1">
        <f t="shared" si="14"/>
        <v>0</v>
      </c>
      <c r="I361" s="17"/>
    </row>
    <row r="362" spans="1:9" x14ac:dyDescent="0.2">
      <c r="A362" s="1" t="s">
        <v>370</v>
      </c>
      <c r="B362" s="1" t="s">
        <v>1058</v>
      </c>
      <c r="C362" s="1">
        <v>568940362</v>
      </c>
      <c r="D362" s="2" t="s">
        <v>1059</v>
      </c>
      <c r="E362" s="10">
        <v>74513891992</v>
      </c>
      <c r="F362" s="2">
        <f>IFERROR(VLOOKUP(B362,M10B!B:W,22,FALSE),0)</f>
        <v>0</v>
      </c>
      <c r="G362" s="1">
        <f t="shared" si="14"/>
        <v>0</v>
      </c>
      <c r="I362" s="17"/>
    </row>
    <row r="363" spans="1:9" x14ac:dyDescent="0.2">
      <c r="A363" s="1" t="s">
        <v>370</v>
      </c>
      <c r="B363" s="1" t="s">
        <v>1062</v>
      </c>
      <c r="C363" s="1">
        <v>568940361</v>
      </c>
      <c r="D363" s="2" t="s">
        <v>1059</v>
      </c>
      <c r="E363" s="10">
        <v>74513891994</v>
      </c>
      <c r="F363" s="2">
        <f>IFERROR(VLOOKUP(B363,M10B!B:W,22,FALSE),0)</f>
        <v>0</v>
      </c>
      <c r="G363" s="1">
        <f t="shared" si="14"/>
        <v>0</v>
      </c>
      <c r="I363" s="17"/>
    </row>
    <row r="364" spans="1:9" x14ac:dyDescent="0.2">
      <c r="A364" s="1" t="s">
        <v>370</v>
      </c>
      <c r="B364" s="1" t="s">
        <v>1109</v>
      </c>
      <c r="C364" s="1">
        <v>553671137</v>
      </c>
      <c r="D364" s="2" t="s">
        <v>1110</v>
      </c>
      <c r="E364" s="10">
        <v>74513890103</v>
      </c>
      <c r="F364" s="2">
        <f>IFERROR(VLOOKUP(B364,M10B!B:W,22,FALSE),0)</f>
        <v>0</v>
      </c>
      <c r="G364" s="1">
        <f t="shared" si="14"/>
        <v>0</v>
      </c>
      <c r="I364" s="17"/>
    </row>
    <row r="365" spans="1:9" x14ac:dyDescent="0.2">
      <c r="A365" s="1" t="s">
        <v>370</v>
      </c>
      <c r="B365" s="1" t="s">
        <v>1073</v>
      </c>
      <c r="C365" s="1">
        <v>553667108</v>
      </c>
      <c r="D365" s="2" t="s">
        <v>1074</v>
      </c>
      <c r="E365" s="10">
        <v>74513890104</v>
      </c>
      <c r="F365" s="2">
        <f>IFERROR(VLOOKUP(B365,M10B!B:W,22,FALSE),0)</f>
        <v>0</v>
      </c>
      <c r="G365" s="1">
        <f t="shared" si="14"/>
        <v>0</v>
      </c>
      <c r="I365" s="17"/>
    </row>
    <row r="366" spans="1:9" x14ac:dyDescent="0.2">
      <c r="A366" s="1" t="s">
        <v>370</v>
      </c>
      <c r="B366" s="1" t="s">
        <v>1111</v>
      </c>
      <c r="C366" s="1">
        <v>553671138</v>
      </c>
      <c r="D366" s="2" t="s">
        <v>1112</v>
      </c>
      <c r="E366" s="10">
        <v>74513890105</v>
      </c>
      <c r="F366" s="2">
        <f>IFERROR(VLOOKUP(B366,M10B!B:W,22,FALSE),0)</f>
        <v>0</v>
      </c>
      <c r="G366" s="1">
        <f t="shared" si="14"/>
        <v>0</v>
      </c>
      <c r="I366" s="17"/>
    </row>
    <row r="367" spans="1:9" x14ac:dyDescent="0.2">
      <c r="A367" s="1" t="s">
        <v>370</v>
      </c>
      <c r="B367" s="1" t="s">
        <v>1075</v>
      </c>
      <c r="C367" s="1">
        <v>557968904</v>
      </c>
      <c r="D367" s="2" t="s">
        <v>1076</v>
      </c>
      <c r="E367" s="10">
        <v>74513891598</v>
      </c>
      <c r="F367" s="2">
        <f>IFERROR(VLOOKUP(B367,M10B!B:W,22,FALSE),0)</f>
        <v>0</v>
      </c>
      <c r="G367" s="1">
        <f t="shared" si="14"/>
        <v>0</v>
      </c>
      <c r="I367" s="17"/>
    </row>
    <row r="368" spans="1:9" x14ac:dyDescent="0.2">
      <c r="A368" s="1" t="s">
        <v>370</v>
      </c>
      <c r="B368" s="1" t="s">
        <v>1069</v>
      </c>
      <c r="C368" s="1">
        <v>557968909</v>
      </c>
      <c r="D368" s="2" t="s">
        <v>1070</v>
      </c>
      <c r="E368" s="10">
        <v>74513891600</v>
      </c>
      <c r="F368" s="2">
        <f>IFERROR(VLOOKUP(B368,M10B!B:W,22,FALSE),0)</f>
        <v>0</v>
      </c>
      <c r="G368" s="1">
        <f t="shared" si="14"/>
        <v>0</v>
      </c>
      <c r="I368" s="17"/>
    </row>
    <row r="369" spans="1:9" x14ac:dyDescent="0.2">
      <c r="A369" s="1" t="s">
        <v>370</v>
      </c>
      <c r="B369" s="1" t="s">
        <v>1107</v>
      </c>
      <c r="C369" s="1">
        <v>553671152</v>
      </c>
      <c r="D369" s="2" t="s">
        <v>1108</v>
      </c>
      <c r="E369" s="10">
        <v>74513890143</v>
      </c>
      <c r="F369" s="2">
        <f>IFERROR(VLOOKUP(B369,M10B!B:W,22,FALSE),0)</f>
        <v>0</v>
      </c>
      <c r="G369" s="1">
        <f t="shared" si="14"/>
        <v>0</v>
      </c>
      <c r="I369" s="17"/>
    </row>
    <row r="370" spans="1:9" x14ac:dyDescent="0.2">
      <c r="A370" s="1" t="s">
        <v>370</v>
      </c>
      <c r="B370" s="1" t="s">
        <v>1077</v>
      </c>
      <c r="C370" s="1">
        <v>553667109</v>
      </c>
      <c r="D370" s="2" t="s">
        <v>1078</v>
      </c>
      <c r="E370" s="10">
        <v>74513890106</v>
      </c>
      <c r="F370" s="2">
        <f>IFERROR(VLOOKUP(B370,M10B!B:W,22,FALSE),0)</f>
        <v>0</v>
      </c>
      <c r="G370" s="1">
        <f t="shared" si="14"/>
        <v>0</v>
      </c>
      <c r="I370" s="17"/>
    </row>
    <row r="371" spans="1:9" x14ac:dyDescent="0.2">
      <c r="A371" s="1" t="s">
        <v>370</v>
      </c>
      <c r="B371" s="1" t="s">
        <v>1080</v>
      </c>
      <c r="C371" s="1">
        <v>553671147</v>
      </c>
      <c r="D371" s="2" t="s">
        <v>1081</v>
      </c>
      <c r="E371" s="10">
        <v>74513890162</v>
      </c>
      <c r="F371" s="2">
        <f>IFERROR(VLOOKUP(B371,M10B!B:W,22,FALSE),0)</f>
        <v>0</v>
      </c>
      <c r="G371" s="1">
        <f t="shared" si="14"/>
        <v>0</v>
      </c>
      <c r="I371" s="17"/>
    </row>
    <row r="372" spans="1:9" x14ac:dyDescent="0.2">
      <c r="A372" s="1" t="s">
        <v>523</v>
      </c>
      <c r="B372" s="1" t="s">
        <v>1085</v>
      </c>
      <c r="C372" s="1">
        <v>568940357</v>
      </c>
      <c r="D372" s="2" t="s">
        <v>1086</v>
      </c>
      <c r="E372" s="10">
        <v>74513892885</v>
      </c>
      <c r="F372" s="2">
        <f>IFERROR(VLOOKUP(B372,M10B!B:W,22,FALSE),0)</f>
        <v>0</v>
      </c>
      <c r="G372" s="1">
        <f>CEILING(F372,252)</f>
        <v>0</v>
      </c>
      <c r="I372" s="17"/>
    </row>
    <row r="373" spans="1:9" x14ac:dyDescent="0.2">
      <c r="A373" s="1" t="s">
        <v>523</v>
      </c>
      <c r="B373" s="1" t="s">
        <v>1083</v>
      </c>
      <c r="C373" s="1">
        <v>568940364</v>
      </c>
      <c r="D373" s="2" t="s">
        <v>1084</v>
      </c>
      <c r="E373" s="10">
        <v>74513892886</v>
      </c>
      <c r="F373" s="2">
        <f>IFERROR(VLOOKUP(B373,M10B!B:W,22,FALSE),0)</f>
        <v>0</v>
      </c>
      <c r="G373" s="1">
        <f>CEILING(F373,252)</f>
        <v>0</v>
      </c>
      <c r="I373" s="17"/>
    </row>
    <row r="374" spans="1:9" x14ac:dyDescent="0.2">
      <c r="A374" s="1" t="s">
        <v>847</v>
      </c>
      <c r="B374" s="1" t="s">
        <v>1050</v>
      </c>
      <c r="C374" s="1">
        <v>573621624</v>
      </c>
      <c r="D374" s="2" t="s">
        <v>1051</v>
      </c>
      <c r="E374" s="10">
        <v>74513891944</v>
      </c>
      <c r="F374" s="2">
        <f>IFERROR(VLOOKUP(B374,M10B!B:W,22,FALSE),0)</f>
        <v>0</v>
      </c>
      <c r="G374" s="1">
        <f t="shared" ref="G374:G379" si="15">CEILING(F374,288)</f>
        <v>0</v>
      </c>
      <c r="I374" s="17"/>
    </row>
    <row r="375" spans="1:9" x14ac:dyDescent="0.2">
      <c r="A375" s="1" t="s">
        <v>847</v>
      </c>
      <c r="B375" s="1" t="s">
        <v>1048</v>
      </c>
      <c r="C375" s="1">
        <v>573608980</v>
      </c>
      <c r="D375" s="2" t="s">
        <v>1049</v>
      </c>
      <c r="E375" s="10">
        <v>74513893533</v>
      </c>
      <c r="F375" s="2">
        <f>IFERROR(VLOOKUP(B375,M10B!B:W,22,FALSE),0)</f>
        <v>0</v>
      </c>
      <c r="G375" s="1">
        <f t="shared" si="15"/>
        <v>0</v>
      </c>
      <c r="I375" s="17"/>
    </row>
    <row r="376" spans="1:9" x14ac:dyDescent="0.2">
      <c r="A376" s="1" t="s">
        <v>847</v>
      </c>
      <c r="B376" s="1" t="s">
        <v>1054</v>
      </c>
      <c r="C376" s="1">
        <v>573608976</v>
      </c>
      <c r="D376" s="2" t="s">
        <v>1055</v>
      </c>
      <c r="E376" s="10">
        <v>74513891939</v>
      </c>
      <c r="F376" s="2">
        <f>IFERROR(VLOOKUP(B376,M10B!B:W,22,FALSE),0)</f>
        <v>0</v>
      </c>
      <c r="G376" s="1">
        <f t="shared" si="15"/>
        <v>0</v>
      </c>
      <c r="I376" s="17"/>
    </row>
    <row r="377" spans="1:9" x14ac:dyDescent="0.2">
      <c r="A377" s="1" t="s">
        <v>847</v>
      </c>
      <c r="B377" s="1" t="s">
        <v>1046</v>
      </c>
      <c r="C377" s="1">
        <v>573608974</v>
      </c>
      <c r="D377" s="2" t="s">
        <v>1047</v>
      </c>
      <c r="E377" s="10">
        <v>74513891940</v>
      </c>
      <c r="F377" s="2">
        <f>IFERROR(VLOOKUP(B377,M10B!B:W,22,FALSE),0)</f>
        <v>0</v>
      </c>
      <c r="G377" s="1">
        <f t="shared" si="15"/>
        <v>0</v>
      </c>
      <c r="I377" s="17"/>
    </row>
    <row r="378" spans="1:9" x14ac:dyDescent="0.2">
      <c r="A378" s="1" t="s">
        <v>847</v>
      </c>
      <c r="B378" s="1" t="s">
        <v>1042</v>
      </c>
      <c r="C378" s="1">
        <v>573608977</v>
      </c>
      <c r="D378" s="2" t="s">
        <v>1043</v>
      </c>
      <c r="E378" s="10">
        <v>74513891957</v>
      </c>
      <c r="F378" s="2">
        <f>IFERROR(VLOOKUP(B378,M10B!B:W,22,FALSE),0)</f>
        <v>0</v>
      </c>
      <c r="G378" s="1">
        <f t="shared" si="15"/>
        <v>0</v>
      </c>
      <c r="I378" s="17"/>
    </row>
    <row r="379" spans="1:9" x14ac:dyDescent="0.2">
      <c r="A379" s="1" t="s">
        <v>847</v>
      </c>
      <c r="B379" s="1" t="s">
        <v>1044</v>
      </c>
      <c r="C379" s="1">
        <v>573608984</v>
      </c>
      <c r="D379" s="2" t="s">
        <v>1045</v>
      </c>
      <c r="E379" s="10">
        <v>74513891956</v>
      </c>
      <c r="F379" s="2">
        <f>IFERROR(VLOOKUP(B379,M10B!B:W,22,FALSE),0)</f>
        <v>0</v>
      </c>
      <c r="G379" s="1">
        <f t="shared" si="15"/>
        <v>0</v>
      </c>
      <c r="I379" s="17"/>
    </row>
    <row r="380" spans="1:9" x14ac:dyDescent="0.2">
      <c r="A380" s="1" t="s">
        <v>847</v>
      </c>
      <c r="B380" s="1" t="s">
        <v>1052</v>
      </c>
      <c r="C380" s="1">
        <v>573608975</v>
      </c>
      <c r="D380" s="2" t="s">
        <v>1053</v>
      </c>
      <c r="E380" s="10">
        <v>74513893538</v>
      </c>
      <c r="F380" s="2">
        <f>IFERROR(VLOOKUP(B380,M10B!B:W,22,FALSE),0)</f>
        <v>0</v>
      </c>
      <c r="G380" s="1">
        <f t="shared" ref="G380:G394" si="16">CEILING(F380,80)</f>
        <v>0</v>
      </c>
      <c r="I380" s="17"/>
    </row>
    <row r="381" spans="1:9" x14ac:dyDescent="0.2">
      <c r="A381" s="1" t="s">
        <v>847</v>
      </c>
      <c r="B381" s="1" t="s">
        <v>1099</v>
      </c>
      <c r="C381" s="1">
        <v>573608979</v>
      </c>
      <c r="D381" s="2" t="s">
        <v>1100</v>
      </c>
      <c r="E381" s="10">
        <v>74513891578</v>
      </c>
      <c r="F381" s="2">
        <f>IFERROR(VLOOKUP(B381,M10B!B:W,22,FALSE),0)</f>
        <v>0</v>
      </c>
      <c r="G381" s="1">
        <f t="shared" si="16"/>
        <v>0</v>
      </c>
      <c r="I381" s="17"/>
    </row>
    <row r="382" spans="1:9" x14ac:dyDescent="0.2">
      <c r="A382" s="1" t="s">
        <v>847</v>
      </c>
      <c r="B382" s="1" t="s">
        <v>1101</v>
      </c>
      <c r="C382" s="1">
        <v>573608978</v>
      </c>
      <c r="D382" s="2" t="s">
        <v>1102</v>
      </c>
      <c r="E382" s="10">
        <v>74513892586</v>
      </c>
      <c r="F382" s="2">
        <f>IFERROR(VLOOKUP(B382,M10B!B:W,22,FALSE),0)</f>
        <v>0</v>
      </c>
      <c r="G382" s="1">
        <f t="shared" si="16"/>
        <v>0</v>
      </c>
      <c r="I382" s="17"/>
    </row>
    <row r="383" spans="1:9" x14ac:dyDescent="0.2">
      <c r="A383" s="1" t="s">
        <v>847</v>
      </c>
      <c r="B383" s="1" t="s">
        <v>1103</v>
      </c>
      <c r="C383" s="1">
        <v>573608983</v>
      </c>
      <c r="D383" s="2" t="s">
        <v>1104</v>
      </c>
      <c r="E383" s="10">
        <v>74513892587</v>
      </c>
      <c r="F383" s="2">
        <f>IFERROR(VLOOKUP(B383,M10B!B:W,22,FALSE),0)</f>
        <v>0</v>
      </c>
      <c r="G383" s="1">
        <f t="shared" si="16"/>
        <v>0</v>
      </c>
      <c r="I383" s="17"/>
    </row>
    <row r="384" spans="1:9" x14ac:dyDescent="0.2">
      <c r="A384" s="1" t="s">
        <v>847</v>
      </c>
      <c r="B384" s="1" t="s">
        <v>1056</v>
      </c>
      <c r="C384" s="1">
        <v>573608981</v>
      </c>
      <c r="D384" s="2" t="s">
        <v>1057</v>
      </c>
      <c r="E384" s="10">
        <v>74513893537</v>
      </c>
      <c r="F384" s="2">
        <f>IFERROR(VLOOKUP(B384,M10B!B:W,22,FALSE),0)</f>
        <v>0</v>
      </c>
      <c r="G384" s="1">
        <f t="shared" si="16"/>
        <v>0</v>
      </c>
      <c r="I384" s="17"/>
    </row>
    <row r="385" spans="1:9" x14ac:dyDescent="0.2">
      <c r="A385" s="1" t="s">
        <v>1018</v>
      </c>
      <c r="B385" s="1" t="s">
        <v>1037</v>
      </c>
      <c r="C385" s="1">
        <v>573626663</v>
      </c>
      <c r="D385" s="2" t="s">
        <v>1038</v>
      </c>
      <c r="E385" s="14">
        <v>81000139048</v>
      </c>
      <c r="F385" s="2">
        <f>IFERROR(VLOOKUP(B385,M10B!B:W,22,FALSE),0)</f>
        <v>0</v>
      </c>
      <c r="G385" s="1">
        <f t="shared" si="16"/>
        <v>0</v>
      </c>
      <c r="I385" s="17"/>
    </row>
    <row r="386" spans="1:9" x14ac:dyDescent="0.2">
      <c r="A386" s="1" t="s">
        <v>1018</v>
      </c>
      <c r="B386" s="1" t="s">
        <v>1035</v>
      </c>
      <c r="C386" s="1">
        <v>573626645</v>
      </c>
      <c r="D386" s="2" t="s">
        <v>1036</v>
      </c>
      <c r="E386" s="14">
        <v>81000139051</v>
      </c>
      <c r="F386" s="2">
        <f>IFERROR(VLOOKUP(B386,M10B!B:W,22,FALSE),0)</f>
        <v>0</v>
      </c>
      <c r="G386" s="1">
        <f t="shared" si="16"/>
        <v>0</v>
      </c>
      <c r="I386" s="17"/>
    </row>
    <row r="387" spans="1:9" x14ac:dyDescent="0.2">
      <c r="A387" s="1" t="s">
        <v>1018</v>
      </c>
      <c r="B387" s="1" t="s">
        <v>1033</v>
      </c>
      <c r="C387" s="1">
        <v>573626644</v>
      </c>
      <c r="D387" s="2" t="s">
        <v>1034</v>
      </c>
      <c r="E387" s="14">
        <v>81000139046</v>
      </c>
      <c r="F387" s="2">
        <f>IFERROR(VLOOKUP(B387,M10B!B:W,22,FALSE),0)</f>
        <v>0</v>
      </c>
      <c r="G387" s="1">
        <f t="shared" si="16"/>
        <v>0</v>
      </c>
      <c r="I387" s="17"/>
    </row>
    <row r="388" spans="1:9" x14ac:dyDescent="0.2">
      <c r="A388" s="1" t="s">
        <v>1018</v>
      </c>
      <c r="B388" s="1" t="s">
        <v>1031</v>
      </c>
      <c r="C388" s="1">
        <v>573626665</v>
      </c>
      <c r="D388" s="2" t="s">
        <v>1032</v>
      </c>
      <c r="E388" s="14">
        <v>81000139037</v>
      </c>
      <c r="F388" s="2">
        <f>IFERROR(VLOOKUP(B388,M10B!B:W,22,FALSE),0)</f>
        <v>0</v>
      </c>
      <c r="G388" s="1">
        <f t="shared" si="16"/>
        <v>0</v>
      </c>
      <c r="I388" s="17"/>
    </row>
    <row r="389" spans="1:9" x14ac:dyDescent="0.2">
      <c r="A389" s="1" t="s">
        <v>1018</v>
      </c>
      <c r="B389" s="1" t="s">
        <v>1029</v>
      </c>
      <c r="C389" s="1">
        <v>573626592</v>
      </c>
      <c r="D389" s="2" t="s">
        <v>1030</v>
      </c>
      <c r="E389" s="14">
        <v>81000139035</v>
      </c>
      <c r="F389" s="2">
        <f>IFERROR(VLOOKUP(B389,M10B!B:W,22,FALSE),0)</f>
        <v>0</v>
      </c>
      <c r="G389" s="1">
        <f t="shared" si="16"/>
        <v>0</v>
      </c>
      <c r="I389" s="17"/>
    </row>
    <row r="390" spans="1:9" x14ac:dyDescent="0.2">
      <c r="A390" s="1" t="s">
        <v>1018</v>
      </c>
      <c r="B390" s="1" t="s">
        <v>1027</v>
      </c>
      <c r="C390" s="1">
        <v>573626570</v>
      </c>
      <c r="D390" s="2" t="s">
        <v>1028</v>
      </c>
      <c r="E390" s="14">
        <v>81000139038</v>
      </c>
      <c r="F390" s="2">
        <f>IFERROR(VLOOKUP(B390,M10B!B:W,22,FALSE),0)</f>
        <v>0</v>
      </c>
      <c r="G390" s="1">
        <f t="shared" si="16"/>
        <v>0</v>
      </c>
      <c r="I390" s="17"/>
    </row>
    <row r="391" spans="1:9" x14ac:dyDescent="0.2">
      <c r="A391" s="1" t="s">
        <v>1018</v>
      </c>
      <c r="B391" s="1" t="s">
        <v>1025</v>
      </c>
      <c r="C391" s="1">
        <v>573626515</v>
      </c>
      <c r="D391" s="2" t="s">
        <v>1026</v>
      </c>
      <c r="E391" s="14">
        <v>81000139044</v>
      </c>
      <c r="F391" s="2">
        <f>IFERROR(VLOOKUP(B391,M10B!B:W,22,FALSE),0)</f>
        <v>0</v>
      </c>
      <c r="G391" s="1">
        <f t="shared" si="16"/>
        <v>0</v>
      </c>
      <c r="I391" s="17"/>
    </row>
    <row r="392" spans="1:9" x14ac:dyDescent="0.2">
      <c r="A392" s="1" t="s">
        <v>1018</v>
      </c>
      <c r="B392" s="1" t="s">
        <v>1023</v>
      </c>
      <c r="C392" s="1">
        <v>573626563</v>
      </c>
      <c r="D392" s="2" t="s">
        <v>1024</v>
      </c>
      <c r="E392" s="14">
        <v>81000139043</v>
      </c>
      <c r="F392" s="2">
        <f>IFERROR(VLOOKUP(B392,M10B!B:W,22,FALSE),0)</f>
        <v>0</v>
      </c>
      <c r="G392" s="1">
        <f t="shared" si="16"/>
        <v>0</v>
      </c>
      <c r="I392" s="17"/>
    </row>
    <row r="393" spans="1:9" x14ac:dyDescent="0.2">
      <c r="A393" s="1" t="s">
        <v>1018</v>
      </c>
      <c r="B393" s="1" t="s">
        <v>1021</v>
      </c>
      <c r="C393" s="1">
        <v>573626528</v>
      </c>
      <c r="D393" s="2" t="s">
        <v>1022</v>
      </c>
      <c r="E393" s="14">
        <v>81000139050</v>
      </c>
      <c r="F393" s="2">
        <f>IFERROR(VLOOKUP(B393,M10B!B:W,22,FALSE),0)</f>
        <v>0</v>
      </c>
      <c r="G393" s="1">
        <f t="shared" si="16"/>
        <v>0</v>
      </c>
      <c r="I393" s="17"/>
    </row>
    <row r="394" spans="1:9" x14ac:dyDescent="0.2">
      <c r="A394" s="1" t="s">
        <v>1018</v>
      </c>
      <c r="B394" s="1" t="s">
        <v>1019</v>
      </c>
      <c r="C394" s="1">
        <v>573626529</v>
      </c>
      <c r="D394" s="2" t="s">
        <v>1020</v>
      </c>
      <c r="E394" s="14">
        <v>81000139045</v>
      </c>
      <c r="F394" s="2">
        <f>IFERROR(VLOOKUP(B394,M10B!B:W,22,FALSE),0)</f>
        <v>0</v>
      </c>
      <c r="G394" s="1">
        <f t="shared" si="16"/>
        <v>0</v>
      </c>
      <c r="I394" s="17"/>
    </row>
    <row r="395" spans="1:9" x14ac:dyDescent="0.2">
      <c r="A395" s="1" t="s">
        <v>1015</v>
      </c>
      <c r="B395" s="1" t="s">
        <v>1016</v>
      </c>
      <c r="C395" s="1">
        <v>574155416</v>
      </c>
      <c r="D395" s="2" t="s">
        <v>1017</v>
      </c>
      <c r="E395" s="14">
        <v>81000139015</v>
      </c>
      <c r="F395" s="2">
        <f>IFERROR(VLOOKUP(B395,M10B!B:W,22,FALSE),0)</f>
        <v>2805.0699999999997</v>
      </c>
      <c r="G395" s="1">
        <f>CEILING(F395,322)</f>
        <v>2898</v>
      </c>
      <c r="I395" s="17"/>
    </row>
    <row r="396" spans="1:9" x14ac:dyDescent="0.2">
      <c r="A396" s="1" t="s">
        <v>974</v>
      </c>
      <c r="B396" s="1" t="s">
        <v>1013</v>
      </c>
      <c r="C396" s="1">
        <v>573626657</v>
      </c>
      <c r="D396" s="2" t="s">
        <v>1014</v>
      </c>
      <c r="E396" s="14">
        <v>81000139129</v>
      </c>
      <c r="F396" s="2">
        <f>IFERROR(VLOOKUP(B396,M10B!B:W,22,FALSE),0)</f>
        <v>0</v>
      </c>
      <c r="G396" s="1">
        <f t="shared" ref="G396:G413" si="17">CEILING(F396,112)</f>
        <v>0</v>
      </c>
      <c r="I396" s="17"/>
    </row>
    <row r="397" spans="1:9" x14ac:dyDescent="0.2">
      <c r="A397" s="1" t="s">
        <v>974</v>
      </c>
      <c r="B397" s="1" t="s">
        <v>1011</v>
      </c>
      <c r="C397" s="1">
        <v>573626629</v>
      </c>
      <c r="D397" s="2" t="s">
        <v>1012</v>
      </c>
      <c r="E397" s="14">
        <v>81000139144</v>
      </c>
      <c r="F397" s="2">
        <f>IFERROR(VLOOKUP(B397,M10B!B:W,22,FALSE),0)</f>
        <v>0</v>
      </c>
      <c r="G397" s="1">
        <f t="shared" si="17"/>
        <v>0</v>
      </c>
      <c r="I397" s="17"/>
    </row>
    <row r="398" spans="1:9" x14ac:dyDescent="0.2">
      <c r="A398" s="1" t="s">
        <v>974</v>
      </c>
      <c r="B398" s="1" t="s">
        <v>1009</v>
      </c>
      <c r="C398" s="1">
        <v>573626661</v>
      </c>
      <c r="D398" s="2" t="s">
        <v>1010</v>
      </c>
      <c r="E398" s="14">
        <v>81000139130</v>
      </c>
      <c r="F398" s="2">
        <f>IFERROR(VLOOKUP(B398,M10B!B:W,22,FALSE),0)</f>
        <v>0</v>
      </c>
      <c r="G398" s="1">
        <f t="shared" si="17"/>
        <v>0</v>
      </c>
      <c r="I398" s="17"/>
    </row>
    <row r="399" spans="1:9" x14ac:dyDescent="0.2">
      <c r="A399" s="1" t="s">
        <v>974</v>
      </c>
      <c r="B399" s="1" t="s">
        <v>1006</v>
      </c>
      <c r="C399" s="1">
        <v>573626619</v>
      </c>
      <c r="D399" s="2" t="s">
        <v>1007</v>
      </c>
      <c r="E399" s="14">
        <v>81000139139</v>
      </c>
      <c r="F399" s="2">
        <f>IFERROR(VLOOKUP(B399,M10B!B:W,22,FALSE),0)</f>
        <v>0</v>
      </c>
      <c r="G399" s="1">
        <f t="shared" si="17"/>
        <v>0</v>
      </c>
      <c r="I399" s="17"/>
    </row>
    <row r="400" spans="1:9" x14ac:dyDescent="0.2">
      <c r="A400" s="1" t="s">
        <v>974</v>
      </c>
      <c r="B400" s="1" t="s">
        <v>1004</v>
      </c>
      <c r="C400" s="1">
        <v>573626652</v>
      </c>
      <c r="D400" s="2" t="s">
        <v>1005</v>
      </c>
      <c r="E400" s="14">
        <v>81000139131</v>
      </c>
      <c r="F400" s="2">
        <f>IFERROR(VLOOKUP(B400,M10B!B:W,22,FALSE),0)</f>
        <v>0</v>
      </c>
      <c r="G400" s="1">
        <f t="shared" si="17"/>
        <v>0</v>
      </c>
      <c r="I400" s="17"/>
    </row>
    <row r="401" spans="1:9" x14ac:dyDescent="0.2">
      <c r="A401" s="1" t="s">
        <v>974</v>
      </c>
      <c r="B401" s="1" t="s">
        <v>1002</v>
      </c>
      <c r="C401" s="1">
        <v>573626659</v>
      </c>
      <c r="D401" s="2" t="s">
        <v>1003</v>
      </c>
      <c r="E401" s="14">
        <v>81000139142</v>
      </c>
      <c r="F401" s="2">
        <f>IFERROR(VLOOKUP(B401,M10B!B:W,22,FALSE),0)</f>
        <v>0</v>
      </c>
      <c r="G401" s="1">
        <f t="shared" si="17"/>
        <v>0</v>
      </c>
      <c r="I401" s="17"/>
    </row>
    <row r="402" spans="1:9" x14ac:dyDescent="0.2">
      <c r="A402" s="1" t="s">
        <v>974</v>
      </c>
      <c r="B402" s="1" t="s">
        <v>1000</v>
      </c>
      <c r="C402" s="1">
        <v>573626656</v>
      </c>
      <c r="D402" s="2" t="s">
        <v>1001</v>
      </c>
      <c r="E402" s="14">
        <v>81000139136</v>
      </c>
      <c r="F402" s="2">
        <f>IFERROR(VLOOKUP(B402,M10B!B:W,22,FALSE),0)</f>
        <v>0</v>
      </c>
      <c r="G402" s="1">
        <f t="shared" si="17"/>
        <v>0</v>
      </c>
      <c r="I402" s="17"/>
    </row>
    <row r="403" spans="1:9" x14ac:dyDescent="0.2">
      <c r="A403" s="1" t="s">
        <v>974</v>
      </c>
      <c r="B403" s="1" t="s">
        <v>998</v>
      </c>
      <c r="C403" s="1">
        <v>573626691</v>
      </c>
      <c r="D403" s="2" t="s">
        <v>999</v>
      </c>
      <c r="E403" s="14">
        <v>81000139140</v>
      </c>
      <c r="F403" s="2">
        <f>IFERROR(VLOOKUP(B403,M10B!B:W,22,FALSE),0)</f>
        <v>0</v>
      </c>
      <c r="G403" s="1">
        <f t="shared" si="17"/>
        <v>0</v>
      </c>
      <c r="I403" s="17"/>
    </row>
    <row r="404" spans="1:9" x14ac:dyDescent="0.2">
      <c r="A404" s="1" t="s">
        <v>974</v>
      </c>
      <c r="B404" s="1" t="s">
        <v>996</v>
      </c>
      <c r="C404" s="1">
        <v>573626603</v>
      </c>
      <c r="D404" s="2" t="s">
        <v>997</v>
      </c>
      <c r="E404" s="14">
        <v>81000139133</v>
      </c>
      <c r="F404" s="2">
        <f>IFERROR(VLOOKUP(B404,M10B!B:W,22,FALSE),0)</f>
        <v>0</v>
      </c>
      <c r="G404" s="1">
        <f t="shared" si="17"/>
        <v>0</v>
      </c>
      <c r="I404" s="17"/>
    </row>
    <row r="405" spans="1:9" x14ac:dyDescent="0.2">
      <c r="A405" s="1" t="s">
        <v>974</v>
      </c>
      <c r="B405" s="1" t="s">
        <v>993</v>
      </c>
      <c r="C405" s="1">
        <v>573626601</v>
      </c>
      <c r="D405" s="2" t="s">
        <v>994</v>
      </c>
      <c r="E405" s="14">
        <v>81000139127</v>
      </c>
      <c r="F405" s="2">
        <f>IFERROR(VLOOKUP(B405,M10B!B:W,22,FALSE),0)</f>
        <v>0</v>
      </c>
      <c r="G405" s="1">
        <f t="shared" si="17"/>
        <v>0</v>
      </c>
      <c r="I405" s="17"/>
    </row>
    <row r="406" spans="1:9" x14ac:dyDescent="0.2">
      <c r="A406" s="1" t="s">
        <v>974</v>
      </c>
      <c r="B406" s="1" t="s">
        <v>991</v>
      </c>
      <c r="C406" s="1">
        <v>573626599</v>
      </c>
      <c r="D406" s="2" t="s">
        <v>992</v>
      </c>
      <c r="E406" s="14">
        <v>81000139141</v>
      </c>
      <c r="F406" s="2">
        <f>IFERROR(VLOOKUP(B406,M10B!B:W,22,FALSE),0)</f>
        <v>0</v>
      </c>
      <c r="G406" s="1">
        <f t="shared" si="17"/>
        <v>0</v>
      </c>
      <c r="I406" s="17"/>
    </row>
    <row r="407" spans="1:9" x14ac:dyDescent="0.2">
      <c r="A407" s="1" t="s">
        <v>974</v>
      </c>
      <c r="B407" s="1" t="s">
        <v>988</v>
      </c>
      <c r="C407" s="1">
        <v>573626605</v>
      </c>
      <c r="D407" s="2" t="s">
        <v>989</v>
      </c>
      <c r="E407" s="14">
        <v>81000139128</v>
      </c>
      <c r="F407" s="2">
        <f>IFERROR(VLOOKUP(B407,M10B!B:W,22,FALSE),0)</f>
        <v>0</v>
      </c>
      <c r="G407" s="1">
        <f t="shared" si="17"/>
        <v>0</v>
      </c>
      <c r="I407" s="17"/>
    </row>
    <row r="408" spans="1:9" x14ac:dyDescent="0.2">
      <c r="A408" s="1" t="s">
        <v>974</v>
      </c>
      <c r="B408" s="1" t="s">
        <v>985</v>
      </c>
      <c r="C408" s="1">
        <v>573626620</v>
      </c>
      <c r="D408" s="2" t="s">
        <v>986</v>
      </c>
      <c r="E408" s="14">
        <v>81000139134</v>
      </c>
      <c r="F408" s="2">
        <f>IFERROR(VLOOKUP(B408,M10B!B:W,22,FALSE),0)</f>
        <v>0</v>
      </c>
      <c r="G408" s="1">
        <f t="shared" si="17"/>
        <v>0</v>
      </c>
      <c r="I408" s="17"/>
    </row>
    <row r="409" spans="1:9" x14ac:dyDescent="0.2">
      <c r="A409" s="1" t="s">
        <v>974</v>
      </c>
      <c r="B409" s="1" t="s">
        <v>983</v>
      </c>
      <c r="C409" s="1">
        <v>573626694</v>
      </c>
      <c r="D409" s="2" t="s">
        <v>984</v>
      </c>
      <c r="E409" s="14">
        <v>81000139147</v>
      </c>
      <c r="F409" s="2">
        <f>IFERROR(VLOOKUP(B409,M10B!B:W,22,FALSE),0)</f>
        <v>0</v>
      </c>
      <c r="G409" s="1">
        <f t="shared" si="17"/>
        <v>0</v>
      </c>
      <c r="I409" s="17"/>
    </row>
    <row r="410" spans="1:9" x14ac:dyDescent="0.2">
      <c r="A410" s="1" t="s">
        <v>974</v>
      </c>
      <c r="B410" s="1" t="s">
        <v>981</v>
      </c>
      <c r="C410" s="1">
        <v>573626686</v>
      </c>
      <c r="D410" s="2" t="s">
        <v>982</v>
      </c>
      <c r="E410" s="14">
        <v>81000139143</v>
      </c>
      <c r="F410" s="2">
        <f>IFERROR(VLOOKUP(B410,M10B!B:W,22,FALSE),0)</f>
        <v>0</v>
      </c>
      <c r="G410" s="1">
        <f t="shared" si="17"/>
        <v>0</v>
      </c>
      <c r="I410" s="17"/>
    </row>
    <row r="411" spans="1:9" x14ac:dyDescent="0.2">
      <c r="A411" s="1" t="s">
        <v>974</v>
      </c>
      <c r="B411" s="1" t="s">
        <v>979</v>
      </c>
      <c r="C411" s="1">
        <v>573626608</v>
      </c>
      <c r="D411" s="2" t="s">
        <v>980</v>
      </c>
      <c r="E411" s="14">
        <v>81000139145</v>
      </c>
      <c r="F411" s="2">
        <f>IFERROR(VLOOKUP(B411,M10B!B:W,22,FALSE),0)</f>
        <v>0</v>
      </c>
      <c r="G411" s="1">
        <f t="shared" si="17"/>
        <v>0</v>
      </c>
      <c r="I411" s="17"/>
    </row>
    <row r="412" spans="1:9" x14ac:dyDescent="0.2">
      <c r="A412" s="1" t="s">
        <v>974</v>
      </c>
      <c r="B412" s="1" t="s">
        <v>977</v>
      </c>
      <c r="C412" s="1">
        <v>573626693</v>
      </c>
      <c r="D412" s="2" t="s">
        <v>978</v>
      </c>
      <c r="E412" s="14">
        <v>81000139135</v>
      </c>
      <c r="F412" s="2">
        <f>IFERROR(VLOOKUP(B412,M10B!B:W,22,FALSE),0)</f>
        <v>0</v>
      </c>
      <c r="G412" s="1">
        <f t="shared" si="17"/>
        <v>0</v>
      </c>
      <c r="I412" s="17"/>
    </row>
    <row r="413" spans="1:9" x14ac:dyDescent="0.2">
      <c r="A413" s="1" t="s">
        <v>974</v>
      </c>
      <c r="B413" s="1" t="s">
        <v>975</v>
      </c>
      <c r="C413" s="1">
        <v>573626650</v>
      </c>
      <c r="D413" s="2" t="s">
        <v>976</v>
      </c>
      <c r="E413" s="14">
        <v>81000139126</v>
      </c>
      <c r="F413" s="2">
        <f>IFERROR(VLOOKUP(B413,M10B!B:W,22,FALSE),0)</f>
        <v>0</v>
      </c>
      <c r="G413" s="1">
        <f t="shared" si="17"/>
        <v>0</v>
      </c>
      <c r="I413" s="17"/>
    </row>
    <row r="414" spans="1:9" x14ac:dyDescent="0.2">
      <c r="A414" s="1" t="s">
        <v>960</v>
      </c>
      <c r="B414" s="1" t="s">
        <v>971</v>
      </c>
      <c r="C414" s="1">
        <v>573626524</v>
      </c>
      <c r="D414" s="2" t="s">
        <v>972</v>
      </c>
      <c r="E414" s="14">
        <v>81000139193</v>
      </c>
      <c r="F414" s="2">
        <f>IFERROR(VLOOKUP(B414,M10B!B:W,22,FALSE),0)</f>
        <v>0</v>
      </c>
      <c r="G414" s="1">
        <f t="shared" ref="G414:G419" si="18">CEILING(F414,60)</f>
        <v>0</v>
      </c>
      <c r="I414" s="17"/>
    </row>
    <row r="415" spans="1:9" x14ac:dyDescent="0.2">
      <c r="A415" s="1" t="s">
        <v>960</v>
      </c>
      <c r="B415" s="1" t="s">
        <v>969</v>
      </c>
      <c r="C415" s="1">
        <v>573626506</v>
      </c>
      <c r="D415" s="2" t="s">
        <v>970</v>
      </c>
      <c r="E415" s="14">
        <v>81000139190</v>
      </c>
      <c r="F415" s="2">
        <f>IFERROR(VLOOKUP(B415,M10B!B:W,22,FALSE),0)</f>
        <v>0</v>
      </c>
      <c r="G415" s="1">
        <f t="shared" si="18"/>
        <v>0</v>
      </c>
      <c r="I415" s="17"/>
    </row>
    <row r="416" spans="1:9" x14ac:dyDescent="0.2">
      <c r="A416" s="1" t="s">
        <v>960</v>
      </c>
      <c r="B416" s="1" t="s">
        <v>967</v>
      </c>
      <c r="C416" s="1">
        <v>573626485</v>
      </c>
      <c r="D416" s="2" t="s">
        <v>968</v>
      </c>
      <c r="E416" s="14">
        <v>81000139189</v>
      </c>
      <c r="F416" s="2">
        <f>IFERROR(VLOOKUP(B416,M10B!B:W,22,FALSE),0)</f>
        <v>0</v>
      </c>
      <c r="G416" s="1">
        <f t="shared" si="18"/>
        <v>0</v>
      </c>
      <c r="I416" s="17"/>
    </row>
    <row r="417" spans="1:9" x14ac:dyDescent="0.2">
      <c r="A417" s="1" t="s">
        <v>960</v>
      </c>
      <c r="B417" s="1" t="s">
        <v>965</v>
      </c>
      <c r="C417" s="1">
        <v>573626486</v>
      </c>
      <c r="D417" s="2" t="s">
        <v>966</v>
      </c>
      <c r="E417" s="14">
        <v>81000139186</v>
      </c>
      <c r="F417" s="2">
        <f>IFERROR(VLOOKUP(B417,M10B!B:W,22,FALSE),0)</f>
        <v>0</v>
      </c>
      <c r="G417" s="1">
        <f t="shared" si="18"/>
        <v>0</v>
      </c>
      <c r="I417" s="17"/>
    </row>
    <row r="418" spans="1:9" x14ac:dyDescent="0.2">
      <c r="A418" s="1" t="s">
        <v>960</v>
      </c>
      <c r="B418" s="1" t="s">
        <v>963</v>
      </c>
      <c r="C418" s="1">
        <v>573626521</v>
      </c>
      <c r="D418" s="2" t="s">
        <v>964</v>
      </c>
      <c r="E418" s="14">
        <v>81000139184</v>
      </c>
      <c r="F418" s="2">
        <f>IFERROR(VLOOKUP(B418,M10B!B:W,22,FALSE),0)</f>
        <v>0</v>
      </c>
      <c r="G418" s="1">
        <f t="shared" si="18"/>
        <v>0</v>
      </c>
      <c r="I418" s="17"/>
    </row>
    <row r="419" spans="1:9" x14ac:dyDescent="0.2">
      <c r="A419" s="1" t="s">
        <v>960</v>
      </c>
      <c r="B419" s="1" t="s">
        <v>961</v>
      </c>
      <c r="C419" s="1">
        <v>573626540</v>
      </c>
      <c r="D419" s="2" t="s">
        <v>962</v>
      </c>
      <c r="E419" s="14">
        <v>81000139183</v>
      </c>
      <c r="F419" s="2">
        <f>IFERROR(VLOOKUP(B419,M10B!B:W,22,FALSE),0)</f>
        <v>0</v>
      </c>
      <c r="G419" s="1">
        <f t="shared" si="18"/>
        <v>0</v>
      </c>
      <c r="I419" s="17"/>
    </row>
    <row r="420" spans="1:9" x14ac:dyDescent="0.2">
      <c r="A420" s="1" t="s">
        <v>847</v>
      </c>
      <c r="B420" s="1" t="s">
        <v>958</v>
      </c>
      <c r="C420" s="1">
        <v>573626630</v>
      </c>
      <c r="D420" s="2" t="s">
        <v>959</v>
      </c>
      <c r="E420" s="14">
        <v>81005603898</v>
      </c>
      <c r="F420" s="2">
        <f>IFERROR(VLOOKUP(B420,M10B!B:W,22,FALSE),0)</f>
        <v>0</v>
      </c>
      <c r="G420" s="1">
        <f t="shared" ref="G420:G451" si="19">CEILING(F420,80)</f>
        <v>0</v>
      </c>
      <c r="I420" s="17"/>
    </row>
    <row r="421" spans="1:9" x14ac:dyDescent="0.2">
      <c r="A421" s="1" t="s">
        <v>847</v>
      </c>
      <c r="B421" s="1" t="s">
        <v>956</v>
      </c>
      <c r="C421" s="1">
        <v>573626636</v>
      </c>
      <c r="D421" s="2" t="s">
        <v>957</v>
      </c>
      <c r="E421" s="14">
        <v>81005603899</v>
      </c>
      <c r="F421" s="2">
        <f>IFERROR(VLOOKUP(B421,M10B!B:W,22,FALSE),0)</f>
        <v>0</v>
      </c>
      <c r="G421" s="1">
        <f t="shared" si="19"/>
        <v>0</v>
      </c>
      <c r="I421" s="17"/>
    </row>
    <row r="422" spans="1:9" x14ac:dyDescent="0.2">
      <c r="A422" s="1" t="s">
        <v>847</v>
      </c>
      <c r="B422" s="1" t="s">
        <v>954</v>
      </c>
      <c r="C422" s="1">
        <v>573626613</v>
      </c>
      <c r="D422" s="2" t="s">
        <v>955</v>
      </c>
      <c r="E422" s="14">
        <v>81000139122</v>
      </c>
      <c r="F422" s="2">
        <f>IFERROR(VLOOKUP(B422,M10B!B:W,22,FALSE),0)</f>
        <v>0</v>
      </c>
      <c r="G422" s="1">
        <f t="shared" si="19"/>
        <v>0</v>
      </c>
      <c r="I422" s="17"/>
    </row>
    <row r="423" spans="1:9" x14ac:dyDescent="0.2">
      <c r="A423" s="1" t="s">
        <v>847</v>
      </c>
      <c r="B423" s="1" t="s">
        <v>952</v>
      </c>
      <c r="C423" s="1">
        <v>573626695</v>
      </c>
      <c r="D423" s="2" t="s">
        <v>953</v>
      </c>
      <c r="E423" s="14">
        <v>81000139076</v>
      </c>
      <c r="F423" s="2">
        <f>IFERROR(VLOOKUP(B423,M10B!B:W,22,FALSE),0)</f>
        <v>0</v>
      </c>
      <c r="G423" s="1">
        <f t="shared" si="19"/>
        <v>0</v>
      </c>
      <c r="I423" s="17"/>
    </row>
    <row r="424" spans="1:9" x14ac:dyDescent="0.2">
      <c r="A424" s="1" t="s">
        <v>847</v>
      </c>
      <c r="B424" s="1" t="s">
        <v>950</v>
      </c>
      <c r="C424" s="1">
        <v>573626628</v>
      </c>
      <c r="D424" s="2" t="s">
        <v>951</v>
      </c>
      <c r="E424" s="14">
        <v>81000139123</v>
      </c>
      <c r="F424" s="2">
        <f>IFERROR(VLOOKUP(B424,M10B!B:W,22,FALSE),0)</f>
        <v>0</v>
      </c>
      <c r="G424" s="1">
        <f t="shared" si="19"/>
        <v>0</v>
      </c>
      <c r="I424" s="17"/>
    </row>
    <row r="425" spans="1:9" x14ac:dyDescent="0.2">
      <c r="A425" s="1" t="s">
        <v>847</v>
      </c>
      <c r="B425" s="1" t="s">
        <v>948</v>
      </c>
      <c r="C425" s="1">
        <v>573626624</v>
      </c>
      <c r="D425" s="2" t="s">
        <v>949</v>
      </c>
      <c r="E425" s="14">
        <v>81000139096</v>
      </c>
      <c r="F425" s="2">
        <f>IFERROR(VLOOKUP(B425,M10B!B:W,22,FALSE),0)</f>
        <v>0</v>
      </c>
      <c r="G425" s="1">
        <f t="shared" si="19"/>
        <v>0</v>
      </c>
      <c r="I425" s="17"/>
    </row>
    <row r="426" spans="1:9" x14ac:dyDescent="0.2">
      <c r="A426" s="1" t="s">
        <v>847</v>
      </c>
      <c r="B426" s="1" t="s">
        <v>946</v>
      </c>
      <c r="C426" s="1">
        <v>573626685</v>
      </c>
      <c r="D426" s="2" t="s">
        <v>947</v>
      </c>
      <c r="E426" s="14">
        <v>81000139103</v>
      </c>
      <c r="F426" s="2">
        <f>IFERROR(VLOOKUP(B426,M10B!B:W,22,FALSE),0)</f>
        <v>0</v>
      </c>
      <c r="G426" s="1">
        <f t="shared" si="19"/>
        <v>0</v>
      </c>
      <c r="I426" s="17"/>
    </row>
    <row r="427" spans="1:9" x14ac:dyDescent="0.2">
      <c r="A427" s="1" t="s">
        <v>847</v>
      </c>
      <c r="B427" s="1" t="s">
        <v>944</v>
      </c>
      <c r="C427" s="1">
        <v>573626692</v>
      </c>
      <c r="D427" s="2" t="s">
        <v>945</v>
      </c>
      <c r="E427" s="14">
        <v>81000139092</v>
      </c>
      <c r="F427" s="2">
        <f>IFERROR(VLOOKUP(B427,M10B!B:W,22,FALSE),0)</f>
        <v>0</v>
      </c>
      <c r="G427" s="1">
        <f t="shared" si="19"/>
        <v>0</v>
      </c>
      <c r="I427" s="17"/>
    </row>
    <row r="428" spans="1:9" x14ac:dyDescent="0.2">
      <c r="A428" s="1" t="s">
        <v>847</v>
      </c>
      <c r="B428" s="1" t="s">
        <v>942</v>
      </c>
      <c r="C428" s="1">
        <v>573626634</v>
      </c>
      <c r="D428" s="2" t="s">
        <v>943</v>
      </c>
      <c r="E428" s="14">
        <v>81000139093</v>
      </c>
      <c r="F428" s="2">
        <f>IFERROR(VLOOKUP(B428,M10B!B:W,22,FALSE),0)</f>
        <v>0</v>
      </c>
      <c r="G428" s="1">
        <f t="shared" si="19"/>
        <v>0</v>
      </c>
      <c r="I428" s="17"/>
    </row>
    <row r="429" spans="1:9" x14ac:dyDescent="0.2">
      <c r="A429" s="1" t="s">
        <v>847</v>
      </c>
      <c r="B429" s="1" t="s">
        <v>940</v>
      </c>
      <c r="C429" s="1">
        <v>573626697</v>
      </c>
      <c r="D429" s="2" t="s">
        <v>941</v>
      </c>
      <c r="E429" s="14">
        <v>81000139125</v>
      </c>
      <c r="F429" s="2">
        <f>IFERROR(VLOOKUP(B429,M10B!B:W,22,FALSE),0)</f>
        <v>0</v>
      </c>
      <c r="G429" s="1">
        <f t="shared" si="19"/>
        <v>0</v>
      </c>
      <c r="I429" s="17"/>
    </row>
    <row r="430" spans="1:9" x14ac:dyDescent="0.2">
      <c r="A430" s="1" t="s">
        <v>847</v>
      </c>
      <c r="B430" s="1" t="s">
        <v>938</v>
      </c>
      <c r="C430" s="1">
        <v>573626696</v>
      </c>
      <c r="D430" s="2" t="s">
        <v>939</v>
      </c>
      <c r="E430" s="14">
        <v>81000139120</v>
      </c>
      <c r="F430" s="2">
        <f>IFERROR(VLOOKUP(B430,M10B!B:W,22,FALSE),0)</f>
        <v>0</v>
      </c>
      <c r="G430" s="1">
        <f t="shared" si="19"/>
        <v>0</v>
      </c>
      <c r="I430" s="17"/>
    </row>
    <row r="431" spans="1:9" x14ac:dyDescent="0.2">
      <c r="A431" s="1" t="s">
        <v>847</v>
      </c>
      <c r="B431" s="1" t="s">
        <v>936</v>
      </c>
      <c r="C431" s="1">
        <v>573626690</v>
      </c>
      <c r="D431" s="2" t="s">
        <v>937</v>
      </c>
      <c r="E431" s="14">
        <v>81000139083</v>
      </c>
      <c r="F431" s="2">
        <f>IFERROR(VLOOKUP(B431,M10B!B:W,22,FALSE),0)</f>
        <v>0</v>
      </c>
      <c r="G431" s="1">
        <f t="shared" si="19"/>
        <v>0</v>
      </c>
      <c r="I431" s="17"/>
    </row>
    <row r="432" spans="1:9" x14ac:dyDescent="0.2">
      <c r="A432" s="1" t="s">
        <v>847</v>
      </c>
      <c r="B432" s="1" t="s">
        <v>934</v>
      </c>
      <c r="C432" s="1">
        <v>573626621</v>
      </c>
      <c r="D432" s="2" t="s">
        <v>935</v>
      </c>
      <c r="E432" s="14">
        <v>81000139098</v>
      </c>
      <c r="F432" s="2">
        <f>IFERROR(VLOOKUP(B432,M10B!B:W,22,FALSE),0)</f>
        <v>0</v>
      </c>
      <c r="G432" s="1">
        <f t="shared" si="19"/>
        <v>0</v>
      </c>
      <c r="I432" s="17"/>
    </row>
    <row r="433" spans="1:9" x14ac:dyDescent="0.2">
      <c r="A433" s="1" t="s">
        <v>847</v>
      </c>
      <c r="B433" s="1" t="s">
        <v>932</v>
      </c>
      <c r="C433" s="1">
        <v>573626635</v>
      </c>
      <c r="D433" s="2" t="s">
        <v>933</v>
      </c>
      <c r="E433" s="14">
        <v>81000139106</v>
      </c>
      <c r="F433" s="2">
        <f>IFERROR(VLOOKUP(B433,M10B!B:W,22,FALSE),0)</f>
        <v>0</v>
      </c>
      <c r="G433" s="1">
        <f t="shared" si="19"/>
        <v>0</v>
      </c>
      <c r="I433" s="17"/>
    </row>
    <row r="434" spans="1:9" x14ac:dyDescent="0.2">
      <c r="A434" s="1" t="s">
        <v>847</v>
      </c>
      <c r="B434" s="1" t="s">
        <v>930</v>
      </c>
      <c r="C434" s="1">
        <v>573626680</v>
      </c>
      <c r="D434" s="2" t="s">
        <v>931</v>
      </c>
      <c r="E434" s="14">
        <v>81000139114</v>
      </c>
      <c r="F434" s="2">
        <f>IFERROR(VLOOKUP(B434,M10B!B:W,22,FALSE),0)</f>
        <v>0</v>
      </c>
      <c r="G434" s="1">
        <f t="shared" si="19"/>
        <v>0</v>
      </c>
      <c r="I434" s="17"/>
    </row>
    <row r="435" spans="1:9" x14ac:dyDescent="0.2">
      <c r="A435" s="1" t="s">
        <v>847</v>
      </c>
      <c r="B435" s="1" t="s">
        <v>928</v>
      </c>
      <c r="C435" s="1">
        <v>573626683</v>
      </c>
      <c r="D435" s="2" t="s">
        <v>929</v>
      </c>
      <c r="E435" s="14">
        <v>81000139104</v>
      </c>
      <c r="F435" s="2">
        <f>IFERROR(VLOOKUP(B435,M10B!B:W,22,FALSE),0)</f>
        <v>0</v>
      </c>
      <c r="G435" s="1">
        <f t="shared" si="19"/>
        <v>0</v>
      </c>
      <c r="I435" s="17"/>
    </row>
    <row r="436" spans="1:9" x14ac:dyDescent="0.2">
      <c r="A436" s="1" t="s">
        <v>847</v>
      </c>
      <c r="B436" s="1" t="s">
        <v>926</v>
      </c>
      <c r="C436" s="1">
        <v>573626616</v>
      </c>
      <c r="D436" s="2" t="s">
        <v>927</v>
      </c>
      <c r="E436" s="14">
        <v>81000139069</v>
      </c>
      <c r="F436" s="2">
        <f>IFERROR(VLOOKUP(B436,M10B!B:W,22,FALSE),0)</f>
        <v>0</v>
      </c>
      <c r="G436" s="1">
        <f t="shared" si="19"/>
        <v>0</v>
      </c>
      <c r="I436" s="17"/>
    </row>
    <row r="437" spans="1:9" x14ac:dyDescent="0.2">
      <c r="A437" s="1" t="s">
        <v>847</v>
      </c>
      <c r="B437" s="1" t="s">
        <v>924</v>
      </c>
      <c r="C437" s="1">
        <v>573626610</v>
      </c>
      <c r="D437" s="2" t="s">
        <v>925</v>
      </c>
      <c r="E437" s="14">
        <v>81000139118</v>
      </c>
      <c r="F437" s="2">
        <f>IFERROR(VLOOKUP(B437,M10B!B:W,22,FALSE),0)</f>
        <v>0</v>
      </c>
      <c r="G437" s="1">
        <f t="shared" si="19"/>
        <v>0</v>
      </c>
      <c r="I437" s="17"/>
    </row>
    <row r="438" spans="1:9" x14ac:dyDescent="0.2">
      <c r="A438" s="1" t="s">
        <v>847</v>
      </c>
      <c r="B438" s="1" t="s">
        <v>922</v>
      </c>
      <c r="C438" s="1">
        <v>573626679</v>
      </c>
      <c r="D438" s="2" t="s">
        <v>923</v>
      </c>
      <c r="E438" s="14">
        <v>81000139116</v>
      </c>
      <c r="F438" s="2">
        <f>IFERROR(VLOOKUP(B438,M10B!B:W,22,FALSE),0)</f>
        <v>0</v>
      </c>
      <c r="G438" s="1">
        <f t="shared" si="19"/>
        <v>0</v>
      </c>
      <c r="I438" s="17"/>
    </row>
    <row r="439" spans="1:9" x14ac:dyDescent="0.2">
      <c r="A439" s="1" t="s">
        <v>847</v>
      </c>
      <c r="B439" s="1" t="s">
        <v>920</v>
      </c>
      <c r="C439" s="1">
        <v>573626684</v>
      </c>
      <c r="D439" s="2" t="s">
        <v>921</v>
      </c>
      <c r="E439" s="14">
        <v>81000139082</v>
      </c>
      <c r="F439" s="2">
        <f>IFERROR(VLOOKUP(B439,M10B!B:W,22,FALSE),0)</f>
        <v>0</v>
      </c>
      <c r="G439" s="1">
        <f t="shared" si="19"/>
        <v>0</v>
      </c>
      <c r="I439" s="17"/>
    </row>
    <row r="440" spans="1:9" x14ac:dyDescent="0.2">
      <c r="A440" s="1" t="s">
        <v>847</v>
      </c>
      <c r="B440" s="1" t="s">
        <v>918</v>
      </c>
      <c r="C440" s="1">
        <v>573626637</v>
      </c>
      <c r="D440" s="2" t="s">
        <v>919</v>
      </c>
      <c r="E440" s="14">
        <v>81000139070</v>
      </c>
      <c r="F440" s="2">
        <f>IFERROR(VLOOKUP(B440,M10B!B:W,22,FALSE),0)</f>
        <v>0</v>
      </c>
      <c r="G440" s="1">
        <f t="shared" si="19"/>
        <v>0</v>
      </c>
      <c r="I440" s="17"/>
    </row>
    <row r="441" spans="1:9" x14ac:dyDescent="0.2">
      <c r="A441" s="1" t="s">
        <v>847</v>
      </c>
      <c r="B441" s="1" t="s">
        <v>916</v>
      </c>
      <c r="C441" s="1">
        <v>573626625</v>
      </c>
      <c r="D441" s="2" t="s">
        <v>917</v>
      </c>
      <c r="E441" s="14">
        <v>81000139085</v>
      </c>
      <c r="F441" s="2">
        <f>IFERROR(VLOOKUP(B441,M10B!B:W,22,FALSE),0)</f>
        <v>0</v>
      </c>
      <c r="G441" s="1">
        <f t="shared" si="19"/>
        <v>0</v>
      </c>
      <c r="I441" s="17"/>
    </row>
    <row r="442" spans="1:9" x14ac:dyDescent="0.2">
      <c r="A442" s="1" t="s">
        <v>847</v>
      </c>
      <c r="B442" s="1" t="s">
        <v>914</v>
      </c>
      <c r="C442" s="1">
        <v>573626622</v>
      </c>
      <c r="D442" s="2" t="s">
        <v>915</v>
      </c>
      <c r="E442" s="14">
        <v>81000139101</v>
      </c>
      <c r="F442" s="2">
        <f>IFERROR(VLOOKUP(B442,M10B!B:W,22,FALSE),0)</f>
        <v>0</v>
      </c>
      <c r="G442" s="1">
        <f t="shared" si="19"/>
        <v>0</v>
      </c>
      <c r="I442" s="17"/>
    </row>
    <row r="443" spans="1:9" x14ac:dyDescent="0.2">
      <c r="A443" s="1" t="s">
        <v>847</v>
      </c>
      <c r="B443" s="1" t="s">
        <v>912</v>
      </c>
      <c r="C443" s="1">
        <v>573626626</v>
      </c>
      <c r="D443" s="2" t="s">
        <v>913</v>
      </c>
      <c r="E443" s="14">
        <v>81000139089</v>
      </c>
      <c r="F443" s="2">
        <f>IFERROR(VLOOKUP(B443,M10B!B:W,22,FALSE),0)</f>
        <v>0</v>
      </c>
      <c r="G443" s="1">
        <f t="shared" si="19"/>
        <v>0</v>
      </c>
      <c r="I443" s="17"/>
    </row>
    <row r="444" spans="1:9" x14ac:dyDescent="0.2">
      <c r="A444" s="1" t="s">
        <v>847</v>
      </c>
      <c r="B444" s="1" t="s">
        <v>910</v>
      </c>
      <c r="C444" s="1">
        <v>573626627</v>
      </c>
      <c r="D444" s="2" t="s">
        <v>911</v>
      </c>
      <c r="E444" s="14">
        <v>81000139079</v>
      </c>
      <c r="F444" s="2">
        <f>IFERROR(VLOOKUP(B444,M10B!B:W,22,FALSE),0)</f>
        <v>0</v>
      </c>
      <c r="G444" s="1">
        <f t="shared" si="19"/>
        <v>0</v>
      </c>
      <c r="I444" s="17"/>
    </row>
    <row r="445" spans="1:9" x14ac:dyDescent="0.2">
      <c r="A445" s="1" t="s">
        <v>847</v>
      </c>
      <c r="B445" s="1" t="s">
        <v>908</v>
      </c>
      <c r="C445" s="1">
        <v>573626682</v>
      </c>
      <c r="D445" s="2" t="s">
        <v>909</v>
      </c>
      <c r="E445" s="14">
        <v>81000139080</v>
      </c>
      <c r="F445" s="2">
        <f>IFERROR(VLOOKUP(B445,M10B!B:W,22,FALSE),0)</f>
        <v>0</v>
      </c>
      <c r="G445" s="1">
        <f t="shared" si="19"/>
        <v>0</v>
      </c>
      <c r="I445" s="17"/>
    </row>
    <row r="446" spans="1:9" x14ac:dyDescent="0.2">
      <c r="A446" s="1" t="s">
        <v>847</v>
      </c>
      <c r="B446" s="1" t="s">
        <v>906</v>
      </c>
      <c r="C446" s="1">
        <v>573626688</v>
      </c>
      <c r="D446" s="2" t="s">
        <v>907</v>
      </c>
      <c r="E446" s="14">
        <v>81000139108</v>
      </c>
      <c r="F446" s="2">
        <f>IFERROR(VLOOKUP(B446,M10B!B:W,22,FALSE),0)</f>
        <v>0</v>
      </c>
      <c r="G446" s="1">
        <f t="shared" si="19"/>
        <v>0</v>
      </c>
      <c r="I446" s="17"/>
    </row>
    <row r="447" spans="1:9" x14ac:dyDescent="0.2">
      <c r="A447" s="1" t="s">
        <v>847</v>
      </c>
      <c r="B447" s="1" t="s">
        <v>904</v>
      </c>
      <c r="C447" s="1">
        <v>573626633</v>
      </c>
      <c r="D447" s="2" t="s">
        <v>905</v>
      </c>
      <c r="E447" s="14">
        <v>81000139074</v>
      </c>
      <c r="F447" s="2">
        <f>IFERROR(VLOOKUP(B447,M10B!B:W,22,FALSE),0)</f>
        <v>0</v>
      </c>
      <c r="G447" s="1">
        <f t="shared" si="19"/>
        <v>0</v>
      </c>
      <c r="I447" s="17"/>
    </row>
    <row r="448" spans="1:9" x14ac:dyDescent="0.2">
      <c r="A448" s="1" t="s">
        <v>847</v>
      </c>
      <c r="B448" s="1" t="s">
        <v>902</v>
      </c>
      <c r="C448" s="1">
        <v>573626675</v>
      </c>
      <c r="D448" s="2" t="s">
        <v>903</v>
      </c>
      <c r="E448" s="14">
        <v>81000139075</v>
      </c>
      <c r="F448" s="2">
        <f>IFERROR(VLOOKUP(B448,M10B!B:W,22,FALSE),0)</f>
        <v>0</v>
      </c>
      <c r="G448" s="1">
        <f t="shared" si="19"/>
        <v>0</v>
      </c>
      <c r="I448" s="17"/>
    </row>
    <row r="449" spans="1:9" x14ac:dyDescent="0.2">
      <c r="A449" s="1" t="s">
        <v>847</v>
      </c>
      <c r="B449" s="1" t="s">
        <v>900</v>
      </c>
      <c r="C449" s="1">
        <v>573626689</v>
      </c>
      <c r="D449" s="2" t="s">
        <v>901</v>
      </c>
      <c r="E449" s="14">
        <v>81000139119</v>
      </c>
      <c r="F449" s="2">
        <f>IFERROR(VLOOKUP(B449,M10B!B:W,22,FALSE),0)</f>
        <v>0</v>
      </c>
      <c r="G449" s="1">
        <f t="shared" si="19"/>
        <v>0</v>
      </c>
      <c r="I449" s="17"/>
    </row>
    <row r="450" spans="1:9" x14ac:dyDescent="0.2">
      <c r="A450" s="1" t="s">
        <v>847</v>
      </c>
      <c r="B450" s="1" t="s">
        <v>898</v>
      </c>
      <c r="C450" s="1">
        <v>573626674</v>
      </c>
      <c r="D450" s="2" t="s">
        <v>899</v>
      </c>
      <c r="E450" s="14">
        <v>81000139091</v>
      </c>
      <c r="F450" s="2">
        <f>IFERROR(VLOOKUP(B450,M10B!B:W,22,FALSE),0)</f>
        <v>0</v>
      </c>
      <c r="G450" s="1">
        <f t="shared" si="19"/>
        <v>0</v>
      </c>
      <c r="I450" s="17"/>
    </row>
    <row r="451" spans="1:9" x14ac:dyDescent="0.2">
      <c r="A451" s="1" t="s">
        <v>847</v>
      </c>
      <c r="B451" s="1" t="s">
        <v>896</v>
      </c>
      <c r="C451" s="1">
        <v>573626678</v>
      </c>
      <c r="D451" s="2" t="s">
        <v>897</v>
      </c>
      <c r="E451" s="14">
        <v>81000139105</v>
      </c>
      <c r="F451" s="2">
        <f>IFERROR(VLOOKUP(B451,M10B!B:W,22,FALSE),0)</f>
        <v>0</v>
      </c>
      <c r="G451" s="1">
        <f t="shared" si="19"/>
        <v>0</v>
      </c>
      <c r="I451" s="17"/>
    </row>
    <row r="452" spans="1:9" x14ac:dyDescent="0.2">
      <c r="A452" s="1" t="s">
        <v>847</v>
      </c>
      <c r="B452" s="1" t="s">
        <v>894</v>
      </c>
      <c r="C452" s="1">
        <v>573626538</v>
      </c>
      <c r="D452" s="2" t="s">
        <v>895</v>
      </c>
      <c r="E452" s="14">
        <v>81000139113</v>
      </c>
      <c r="F452" s="2">
        <f>IFERROR(VLOOKUP(B452,M10B!B:W,22,FALSE),0)</f>
        <v>0</v>
      </c>
      <c r="G452" s="1">
        <f t="shared" ref="G452:G475" si="20">CEILING(F452,80)</f>
        <v>0</v>
      </c>
      <c r="I452" s="17"/>
    </row>
    <row r="453" spans="1:9" x14ac:dyDescent="0.2">
      <c r="A453" s="1" t="s">
        <v>847</v>
      </c>
      <c r="B453" s="1" t="s">
        <v>892</v>
      </c>
      <c r="C453" s="1">
        <v>573626503</v>
      </c>
      <c r="D453" s="2" t="s">
        <v>893</v>
      </c>
      <c r="E453" s="14">
        <v>81000139099</v>
      </c>
      <c r="F453" s="2">
        <f>IFERROR(VLOOKUP(B453,M10B!B:W,22,FALSE),0)</f>
        <v>0</v>
      </c>
      <c r="G453" s="1">
        <f t="shared" si="20"/>
        <v>0</v>
      </c>
      <c r="I453" s="17"/>
    </row>
    <row r="454" spans="1:9" x14ac:dyDescent="0.2">
      <c r="A454" s="1" t="s">
        <v>847</v>
      </c>
      <c r="B454" s="1" t="s">
        <v>890</v>
      </c>
      <c r="C454" s="1">
        <v>573626546</v>
      </c>
      <c r="D454" s="2" t="s">
        <v>891</v>
      </c>
      <c r="E454" s="14">
        <v>81000139068</v>
      </c>
      <c r="F454" s="2">
        <f>IFERROR(VLOOKUP(B454,M10B!B:W,22,FALSE),0)</f>
        <v>0</v>
      </c>
      <c r="G454" s="1">
        <f t="shared" si="20"/>
        <v>0</v>
      </c>
      <c r="I454" s="17"/>
    </row>
    <row r="455" spans="1:9" x14ac:dyDescent="0.2">
      <c r="A455" s="1" t="s">
        <v>847</v>
      </c>
      <c r="B455" s="1" t="s">
        <v>888</v>
      </c>
      <c r="C455" s="1">
        <v>573626502</v>
      </c>
      <c r="D455" s="2" t="s">
        <v>889</v>
      </c>
      <c r="E455" s="14">
        <v>81000139081</v>
      </c>
      <c r="F455" s="2">
        <f>IFERROR(VLOOKUP(B455,M10B!B:W,22,FALSE),0)</f>
        <v>0</v>
      </c>
      <c r="G455" s="1">
        <f t="shared" si="20"/>
        <v>0</v>
      </c>
      <c r="I455" s="17"/>
    </row>
    <row r="456" spans="1:9" x14ac:dyDescent="0.2">
      <c r="A456" s="1" t="s">
        <v>847</v>
      </c>
      <c r="B456" s="1" t="s">
        <v>886</v>
      </c>
      <c r="C456" s="1">
        <v>573626492</v>
      </c>
      <c r="D456" s="2" t="s">
        <v>887</v>
      </c>
      <c r="E456" s="14">
        <v>81000139121</v>
      </c>
      <c r="F456" s="2">
        <f>IFERROR(VLOOKUP(B456,M10B!B:W,22,FALSE),0)</f>
        <v>0</v>
      </c>
      <c r="G456" s="1">
        <f t="shared" si="20"/>
        <v>0</v>
      </c>
      <c r="I456" s="17"/>
    </row>
    <row r="457" spans="1:9" x14ac:dyDescent="0.2">
      <c r="A457" s="1" t="s">
        <v>847</v>
      </c>
      <c r="B457" s="1" t="s">
        <v>884</v>
      </c>
      <c r="C457" s="1">
        <v>573626493</v>
      </c>
      <c r="D457" s="2" t="s">
        <v>885</v>
      </c>
      <c r="E457" s="14">
        <v>81000139107</v>
      </c>
      <c r="F457" s="2">
        <f>IFERROR(VLOOKUP(B457,M10B!B:W,22,FALSE),0)</f>
        <v>0</v>
      </c>
      <c r="G457" s="1">
        <f t="shared" si="20"/>
        <v>0</v>
      </c>
      <c r="I457" s="17"/>
    </row>
    <row r="458" spans="1:9" x14ac:dyDescent="0.2">
      <c r="A458" s="1" t="s">
        <v>847</v>
      </c>
      <c r="B458" s="1" t="s">
        <v>882</v>
      </c>
      <c r="C458" s="1">
        <v>573626534</v>
      </c>
      <c r="D458" s="2" t="s">
        <v>883</v>
      </c>
      <c r="E458" s="14">
        <v>81000139100</v>
      </c>
      <c r="F458" s="2">
        <f>IFERROR(VLOOKUP(B458,M10B!B:W,22,FALSE),0)</f>
        <v>0</v>
      </c>
      <c r="G458" s="1">
        <f t="shared" si="20"/>
        <v>0</v>
      </c>
      <c r="I458" s="17"/>
    </row>
    <row r="459" spans="1:9" x14ac:dyDescent="0.2">
      <c r="A459" s="1" t="s">
        <v>847</v>
      </c>
      <c r="B459" s="1" t="s">
        <v>880</v>
      </c>
      <c r="C459" s="1">
        <v>573626532</v>
      </c>
      <c r="D459" s="2" t="s">
        <v>881</v>
      </c>
      <c r="E459" s="14">
        <v>81000139071</v>
      </c>
      <c r="F459" s="2">
        <f>IFERROR(VLOOKUP(B459,M10B!B:W,22,FALSE),0)</f>
        <v>0</v>
      </c>
      <c r="G459" s="1">
        <f t="shared" si="20"/>
        <v>0</v>
      </c>
      <c r="I459" s="17"/>
    </row>
    <row r="460" spans="1:9" x14ac:dyDescent="0.2">
      <c r="A460" s="1" t="s">
        <v>847</v>
      </c>
      <c r="B460" s="1" t="s">
        <v>878</v>
      </c>
      <c r="C460" s="1">
        <v>573626500</v>
      </c>
      <c r="D460" s="2" t="s">
        <v>879</v>
      </c>
      <c r="E460" s="14">
        <v>81000139073</v>
      </c>
      <c r="F460" s="2">
        <f>IFERROR(VLOOKUP(B460,M10B!B:W,22,FALSE),0)</f>
        <v>0</v>
      </c>
      <c r="G460" s="1">
        <f t="shared" si="20"/>
        <v>0</v>
      </c>
      <c r="I460" s="17"/>
    </row>
    <row r="461" spans="1:9" x14ac:dyDescent="0.2">
      <c r="A461" s="1" t="s">
        <v>847</v>
      </c>
      <c r="B461" s="1" t="s">
        <v>876</v>
      </c>
      <c r="C461" s="1">
        <v>573626501</v>
      </c>
      <c r="D461" s="2" t="s">
        <v>877</v>
      </c>
      <c r="E461" s="14">
        <v>81000139072</v>
      </c>
      <c r="F461" s="2">
        <f>IFERROR(VLOOKUP(B461,M10B!B:W,22,FALSE),0)</f>
        <v>0</v>
      </c>
      <c r="G461" s="1">
        <f t="shared" si="20"/>
        <v>0</v>
      </c>
      <c r="I461" s="17"/>
    </row>
    <row r="462" spans="1:9" x14ac:dyDescent="0.2">
      <c r="A462" s="1" t="s">
        <v>847</v>
      </c>
      <c r="B462" s="1" t="s">
        <v>874</v>
      </c>
      <c r="C462" s="1">
        <v>573626497</v>
      </c>
      <c r="D462" s="2" t="s">
        <v>875</v>
      </c>
      <c r="E462" s="14">
        <v>81000139087</v>
      </c>
      <c r="F462" s="2">
        <f>IFERROR(VLOOKUP(B462,M10B!B:W,22,FALSE),0)</f>
        <v>0</v>
      </c>
      <c r="G462" s="1">
        <f t="shared" si="20"/>
        <v>0</v>
      </c>
      <c r="I462" s="17"/>
    </row>
    <row r="463" spans="1:9" x14ac:dyDescent="0.2">
      <c r="A463" s="1" t="s">
        <v>847</v>
      </c>
      <c r="B463" s="1" t="s">
        <v>872</v>
      </c>
      <c r="C463" s="1">
        <v>573626495</v>
      </c>
      <c r="D463" s="2" t="s">
        <v>873</v>
      </c>
      <c r="E463" s="14">
        <v>81000139112</v>
      </c>
      <c r="F463" s="2">
        <f>IFERROR(VLOOKUP(B463,M10B!B:W,22,FALSE),0)</f>
        <v>0</v>
      </c>
      <c r="G463" s="1">
        <f t="shared" si="20"/>
        <v>0</v>
      </c>
      <c r="I463" s="17"/>
    </row>
    <row r="464" spans="1:9" x14ac:dyDescent="0.2">
      <c r="A464" s="1" t="s">
        <v>847</v>
      </c>
      <c r="B464" s="1" t="s">
        <v>870</v>
      </c>
      <c r="C464" s="1">
        <v>573626499</v>
      </c>
      <c r="D464" s="2" t="s">
        <v>871</v>
      </c>
      <c r="E464" s="14">
        <v>81000139095</v>
      </c>
      <c r="F464" s="2">
        <f>IFERROR(VLOOKUP(B464,M10B!B:W,22,FALSE),0)</f>
        <v>0</v>
      </c>
      <c r="G464" s="1">
        <f t="shared" si="20"/>
        <v>0</v>
      </c>
      <c r="I464" s="17"/>
    </row>
    <row r="465" spans="1:9" x14ac:dyDescent="0.2">
      <c r="A465" s="1" t="s">
        <v>847</v>
      </c>
      <c r="B465" s="1" t="s">
        <v>868</v>
      </c>
      <c r="C465" s="1">
        <v>573626530</v>
      </c>
      <c r="D465" s="2" t="s">
        <v>869</v>
      </c>
      <c r="E465" s="14">
        <v>81000139088</v>
      </c>
      <c r="F465" s="2">
        <f>IFERROR(VLOOKUP(B465,M10B!B:W,22,FALSE),0)</f>
        <v>0</v>
      </c>
      <c r="G465" s="1">
        <f t="shared" si="20"/>
        <v>0</v>
      </c>
      <c r="I465" s="17"/>
    </row>
    <row r="466" spans="1:9" x14ac:dyDescent="0.2">
      <c r="A466" s="1" t="s">
        <v>847</v>
      </c>
      <c r="B466" s="1" t="s">
        <v>866</v>
      </c>
      <c r="C466" s="1">
        <v>573626507</v>
      </c>
      <c r="D466" s="2" t="s">
        <v>867</v>
      </c>
      <c r="E466" s="14">
        <v>81000139090</v>
      </c>
      <c r="F466" s="2">
        <f>IFERROR(VLOOKUP(B466,M10B!B:W,22,FALSE),0)</f>
        <v>0</v>
      </c>
      <c r="G466" s="1">
        <f t="shared" si="20"/>
        <v>0</v>
      </c>
      <c r="I466" s="17"/>
    </row>
    <row r="467" spans="1:9" x14ac:dyDescent="0.2">
      <c r="A467" s="1" t="s">
        <v>847</v>
      </c>
      <c r="B467" s="1" t="s">
        <v>864</v>
      </c>
      <c r="C467" s="1">
        <v>573626494</v>
      </c>
      <c r="D467" s="2" t="s">
        <v>865</v>
      </c>
      <c r="E467" s="14">
        <v>81000139102</v>
      </c>
      <c r="F467" s="2">
        <f>IFERROR(VLOOKUP(B467,M10B!B:W,22,FALSE),0)</f>
        <v>0</v>
      </c>
      <c r="G467" s="1">
        <f t="shared" si="20"/>
        <v>0</v>
      </c>
      <c r="I467" s="17"/>
    </row>
    <row r="468" spans="1:9" x14ac:dyDescent="0.2">
      <c r="A468" s="1" t="s">
        <v>847</v>
      </c>
      <c r="B468" s="1" t="s">
        <v>862</v>
      </c>
      <c r="C468" s="1">
        <v>573626509</v>
      </c>
      <c r="D468" s="2" t="s">
        <v>863</v>
      </c>
      <c r="E468" s="14">
        <v>81000139117</v>
      </c>
      <c r="F468" s="2">
        <f>IFERROR(VLOOKUP(B468,M10B!B:W,22,FALSE),0)</f>
        <v>0</v>
      </c>
      <c r="G468" s="1">
        <f t="shared" si="20"/>
        <v>0</v>
      </c>
      <c r="I468" s="17"/>
    </row>
    <row r="469" spans="1:9" x14ac:dyDescent="0.2">
      <c r="A469" s="1" t="s">
        <v>847</v>
      </c>
      <c r="B469" s="1" t="s">
        <v>860</v>
      </c>
      <c r="C469" s="1">
        <v>573626536</v>
      </c>
      <c r="D469" s="2" t="s">
        <v>861</v>
      </c>
      <c r="E469" s="14">
        <v>81000139097</v>
      </c>
      <c r="F469" s="2">
        <f>IFERROR(VLOOKUP(B469,M10B!B:W,22,FALSE),0)</f>
        <v>0</v>
      </c>
      <c r="G469" s="1">
        <f t="shared" si="20"/>
        <v>0</v>
      </c>
      <c r="I469" s="17"/>
    </row>
    <row r="470" spans="1:9" x14ac:dyDescent="0.2">
      <c r="A470" s="1" t="s">
        <v>847</v>
      </c>
      <c r="B470" s="1" t="s">
        <v>858</v>
      </c>
      <c r="C470" s="1">
        <v>573626518</v>
      </c>
      <c r="D470" s="2" t="s">
        <v>859</v>
      </c>
      <c r="E470" s="14">
        <v>81000139084</v>
      </c>
      <c r="F470" s="2">
        <f>IFERROR(VLOOKUP(B470,M10B!B:W,22,FALSE),0)</f>
        <v>0</v>
      </c>
      <c r="G470" s="1">
        <f t="shared" si="20"/>
        <v>0</v>
      </c>
      <c r="I470" s="17"/>
    </row>
    <row r="471" spans="1:9" x14ac:dyDescent="0.2">
      <c r="A471" s="1" t="s">
        <v>847</v>
      </c>
      <c r="B471" s="1" t="s">
        <v>856</v>
      </c>
      <c r="C471" s="1">
        <v>573626508</v>
      </c>
      <c r="D471" s="2" t="s">
        <v>857</v>
      </c>
      <c r="E471" s="14">
        <v>81000139111</v>
      </c>
      <c r="F471" s="2">
        <f>IFERROR(VLOOKUP(B471,M10B!B:W,22,FALSE),0)</f>
        <v>0</v>
      </c>
      <c r="G471" s="1">
        <f t="shared" si="20"/>
        <v>0</v>
      </c>
      <c r="I471" s="17"/>
    </row>
    <row r="472" spans="1:9" x14ac:dyDescent="0.2">
      <c r="A472" s="1" t="s">
        <v>847</v>
      </c>
      <c r="B472" s="1" t="s">
        <v>854</v>
      </c>
      <c r="C472" s="1">
        <v>573626526</v>
      </c>
      <c r="D472" s="2" t="s">
        <v>855</v>
      </c>
      <c r="E472" s="14">
        <v>81000139086</v>
      </c>
      <c r="F472" s="2">
        <f>IFERROR(VLOOKUP(B472,M10B!B:W,22,FALSE),0)</f>
        <v>0</v>
      </c>
      <c r="G472" s="1">
        <f t="shared" si="20"/>
        <v>0</v>
      </c>
      <c r="I472" s="17"/>
    </row>
    <row r="473" spans="1:9" x14ac:dyDescent="0.2">
      <c r="A473" s="1" t="s">
        <v>847</v>
      </c>
      <c r="B473" s="1" t="s">
        <v>852</v>
      </c>
      <c r="C473" s="1">
        <v>573626510</v>
      </c>
      <c r="D473" s="2" t="s">
        <v>853</v>
      </c>
      <c r="E473" s="14">
        <v>81000139115</v>
      </c>
      <c r="F473" s="2">
        <f>IFERROR(VLOOKUP(B473,M10B!B:W,22,FALSE),0)</f>
        <v>0</v>
      </c>
      <c r="G473" s="1">
        <f t="shared" si="20"/>
        <v>0</v>
      </c>
      <c r="I473" s="17"/>
    </row>
    <row r="474" spans="1:9" x14ac:dyDescent="0.2">
      <c r="A474" s="1" t="s">
        <v>847</v>
      </c>
      <c r="B474" s="1" t="s">
        <v>850</v>
      </c>
      <c r="C474" s="1">
        <v>573626511</v>
      </c>
      <c r="D474" s="2" t="s">
        <v>851</v>
      </c>
      <c r="E474" s="14">
        <v>81000139109</v>
      </c>
      <c r="F474" s="2">
        <f>IFERROR(VLOOKUP(B474,M10B!B:W,22,FALSE),0)</f>
        <v>0</v>
      </c>
      <c r="G474" s="1">
        <f t="shared" si="20"/>
        <v>0</v>
      </c>
      <c r="I474" s="17"/>
    </row>
    <row r="475" spans="1:9" x14ac:dyDescent="0.2">
      <c r="A475" s="1" t="s">
        <v>847</v>
      </c>
      <c r="B475" s="1" t="s">
        <v>848</v>
      </c>
      <c r="C475" s="1">
        <v>573626566</v>
      </c>
      <c r="D475" s="2" t="s">
        <v>849</v>
      </c>
      <c r="E475" s="14">
        <v>81000139124</v>
      </c>
      <c r="F475" s="2">
        <f>IFERROR(VLOOKUP(B475,M10B!B:W,22,FALSE),0)</f>
        <v>0</v>
      </c>
      <c r="G475" s="1">
        <f t="shared" si="20"/>
        <v>0</v>
      </c>
      <c r="I475" s="17"/>
    </row>
    <row r="476" spans="1:9" x14ac:dyDescent="0.2">
      <c r="A476" s="1" t="s">
        <v>827</v>
      </c>
      <c r="B476" s="1" t="s">
        <v>842</v>
      </c>
      <c r="C476" s="1">
        <v>573626520</v>
      </c>
      <c r="D476" s="2" t="s">
        <v>843</v>
      </c>
      <c r="E476" s="14">
        <v>81000139170</v>
      </c>
      <c r="F476" s="2">
        <f>IFERROR(VLOOKUP(B476,M10B!B:W,22,FALSE),0)</f>
        <v>0</v>
      </c>
      <c r="G476" s="1">
        <f t="shared" ref="G476:G483" si="21">CEILING(F476,96)</f>
        <v>0</v>
      </c>
      <c r="I476" s="17"/>
    </row>
    <row r="477" spans="1:9" x14ac:dyDescent="0.2">
      <c r="A477" s="1" t="s">
        <v>827</v>
      </c>
      <c r="B477" s="1" t="s">
        <v>840</v>
      </c>
      <c r="C477" s="1">
        <v>573626496</v>
      </c>
      <c r="D477" s="2" t="s">
        <v>841</v>
      </c>
      <c r="E477" s="14">
        <v>81000139171</v>
      </c>
      <c r="F477" s="2">
        <f>IFERROR(VLOOKUP(B477,M10B!B:W,22,FALSE),0)</f>
        <v>0</v>
      </c>
      <c r="G477" s="1">
        <f t="shared" si="21"/>
        <v>0</v>
      </c>
      <c r="I477" s="17"/>
    </row>
    <row r="478" spans="1:9" x14ac:dyDescent="0.2">
      <c r="A478" s="1" t="s">
        <v>827</v>
      </c>
      <c r="B478" s="1" t="s">
        <v>838</v>
      </c>
      <c r="C478" s="1">
        <v>573626547</v>
      </c>
      <c r="D478" s="2" t="s">
        <v>839</v>
      </c>
      <c r="E478" s="14">
        <v>81000139172</v>
      </c>
      <c r="F478" s="2">
        <f>IFERROR(VLOOKUP(B478,M10B!B:W,22,FALSE),0)</f>
        <v>0</v>
      </c>
      <c r="G478" s="1">
        <f t="shared" si="21"/>
        <v>0</v>
      </c>
      <c r="I478" s="17"/>
    </row>
    <row r="479" spans="1:9" x14ac:dyDescent="0.2">
      <c r="A479" s="1" t="s">
        <v>827</v>
      </c>
      <c r="B479" s="1" t="s">
        <v>836</v>
      </c>
      <c r="C479" s="1">
        <v>573626551</v>
      </c>
      <c r="D479" s="2" t="s">
        <v>837</v>
      </c>
      <c r="E479" s="14">
        <v>81000139173</v>
      </c>
      <c r="F479" s="2">
        <f>IFERROR(VLOOKUP(B479,M10B!B:W,22,FALSE),0)</f>
        <v>0</v>
      </c>
      <c r="G479" s="1">
        <f t="shared" si="21"/>
        <v>0</v>
      </c>
      <c r="I479" s="17"/>
    </row>
    <row r="480" spans="1:9" x14ac:dyDescent="0.2">
      <c r="A480" s="1" t="s">
        <v>827</v>
      </c>
      <c r="B480" s="1" t="s">
        <v>834</v>
      </c>
      <c r="C480" s="1">
        <v>573626487</v>
      </c>
      <c r="D480" s="2" t="s">
        <v>835</v>
      </c>
      <c r="E480" s="14">
        <v>81000139174</v>
      </c>
      <c r="F480" s="2">
        <f>IFERROR(VLOOKUP(B480,M10B!B:W,22,FALSE),0)</f>
        <v>0</v>
      </c>
      <c r="G480" s="1">
        <f t="shared" si="21"/>
        <v>0</v>
      </c>
      <c r="I480" s="17"/>
    </row>
    <row r="481" spans="1:9" x14ac:dyDescent="0.2">
      <c r="A481" s="1" t="s">
        <v>827</v>
      </c>
      <c r="B481" s="1" t="s">
        <v>832</v>
      </c>
      <c r="C481" s="1">
        <v>573626498</v>
      </c>
      <c r="D481" s="2" t="s">
        <v>833</v>
      </c>
      <c r="E481" s="14">
        <v>81000139175</v>
      </c>
      <c r="F481" s="2">
        <f>IFERROR(VLOOKUP(B481,M10B!B:W,22,FALSE),0)</f>
        <v>0</v>
      </c>
      <c r="G481" s="1">
        <f t="shared" si="21"/>
        <v>0</v>
      </c>
      <c r="I481" s="17"/>
    </row>
    <row r="482" spans="1:9" x14ac:dyDescent="0.2">
      <c r="A482" s="1" t="s">
        <v>827</v>
      </c>
      <c r="B482" s="1" t="s">
        <v>830</v>
      </c>
      <c r="C482" s="1">
        <v>573626522</v>
      </c>
      <c r="D482" s="2" t="s">
        <v>831</v>
      </c>
      <c r="E482" s="14">
        <v>81000139176</v>
      </c>
      <c r="F482" s="2">
        <f>IFERROR(VLOOKUP(B482,M10B!B:W,22,FALSE),0)</f>
        <v>0</v>
      </c>
      <c r="G482" s="1">
        <f t="shared" si="21"/>
        <v>0</v>
      </c>
      <c r="I482" s="17"/>
    </row>
    <row r="483" spans="1:9" x14ac:dyDescent="0.2">
      <c r="A483" s="1" t="s">
        <v>827</v>
      </c>
      <c r="B483" s="1" t="s">
        <v>828</v>
      </c>
      <c r="C483" s="1">
        <v>573626597</v>
      </c>
      <c r="D483" s="2" t="s">
        <v>829</v>
      </c>
      <c r="E483" s="14">
        <v>81000139177</v>
      </c>
      <c r="F483" s="2">
        <f>IFERROR(VLOOKUP(B483,M10B!B:W,22,FALSE),0)</f>
        <v>0</v>
      </c>
      <c r="G483" s="1">
        <f t="shared" si="21"/>
        <v>0</v>
      </c>
      <c r="I483" s="17"/>
    </row>
    <row r="484" spans="1:9" x14ac:dyDescent="0.2">
      <c r="A484" s="1" t="s">
        <v>792</v>
      </c>
      <c r="B484" s="1" t="s">
        <v>825</v>
      </c>
      <c r="C484" s="1">
        <v>573626642</v>
      </c>
      <c r="D484" s="2" t="s">
        <v>826</v>
      </c>
      <c r="E484" s="14">
        <v>81000139150</v>
      </c>
      <c r="F484" s="2">
        <f>IFERROR(VLOOKUP(B484,M10B!B:W,22,FALSE),0)</f>
        <v>0</v>
      </c>
      <c r="G484" s="1">
        <f t="shared" ref="G484:G505" si="22">CEILING(F484,576)</f>
        <v>0</v>
      </c>
      <c r="I484" s="17"/>
    </row>
    <row r="485" spans="1:9" x14ac:dyDescent="0.2">
      <c r="A485" s="1" t="s">
        <v>792</v>
      </c>
      <c r="B485" s="1" t="s">
        <v>823</v>
      </c>
      <c r="C485" s="1">
        <v>573626595</v>
      </c>
      <c r="D485" s="2" t="s">
        <v>824</v>
      </c>
      <c r="E485" s="14">
        <v>81000139152</v>
      </c>
      <c r="F485" s="2">
        <f>IFERROR(VLOOKUP(B485,M10B!B:W,22,FALSE),0)</f>
        <v>0</v>
      </c>
      <c r="G485" s="1">
        <f t="shared" si="22"/>
        <v>0</v>
      </c>
      <c r="I485" s="17"/>
    </row>
    <row r="486" spans="1:9" x14ac:dyDescent="0.2">
      <c r="A486" s="1" t="s">
        <v>792</v>
      </c>
      <c r="B486" s="1" t="s">
        <v>821</v>
      </c>
      <c r="C486" s="1">
        <v>573626583</v>
      </c>
      <c r="D486" s="2" t="s">
        <v>822</v>
      </c>
      <c r="E486" s="14">
        <v>81000139154</v>
      </c>
      <c r="F486" s="2">
        <f>IFERROR(VLOOKUP(B486,M10B!B:W,22,FALSE),0)</f>
        <v>0</v>
      </c>
      <c r="G486" s="1">
        <f t="shared" si="22"/>
        <v>0</v>
      </c>
      <c r="I486" s="17"/>
    </row>
    <row r="487" spans="1:9" x14ac:dyDescent="0.2">
      <c r="A487" s="1" t="s">
        <v>792</v>
      </c>
      <c r="B487" s="1" t="s">
        <v>819</v>
      </c>
      <c r="C487" s="1">
        <v>573626587</v>
      </c>
      <c r="D487" s="2" t="s">
        <v>820</v>
      </c>
      <c r="E487" s="14">
        <v>81000139163</v>
      </c>
      <c r="F487" s="2">
        <f>IFERROR(VLOOKUP(B487,M10B!B:W,22,FALSE),0)</f>
        <v>0</v>
      </c>
      <c r="G487" s="1">
        <f t="shared" si="22"/>
        <v>0</v>
      </c>
      <c r="I487" s="17"/>
    </row>
    <row r="488" spans="1:9" x14ac:dyDescent="0.2">
      <c r="A488" s="1" t="s">
        <v>792</v>
      </c>
      <c r="B488" s="1" t="s">
        <v>817</v>
      </c>
      <c r="C488" s="1">
        <v>573626593</v>
      </c>
      <c r="D488" s="2" t="s">
        <v>818</v>
      </c>
      <c r="E488" s="14">
        <v>81000139156</v>
      </c>
      <c r="F488" s="2">
        <f>IFERROR(VLOOKUP(B488,M10B!B:W,22,FALSE),0)</f>
        <v>0</v>
      </c>
      <c r="G488" s="1">
        <f t="shared" si="22"/>
        <v>0</v>
      </c>
      <c r="I488" s="17"/>
    </row>
    <row r="489" spans="1:9" x14ac:dyDescent="0.2">
      <c r="A489" s="1" t="s">
        <v>792</v>
      </c>
      <c r="B489" s="1" t="s">
        <v>815</v>
      </c>
      <c r="C489" s="1">
        <v>573626484</v>
      </c>
      <c r="D489" s="2" t="s">
        <v>816</v>
      </c>
      <c r="E489" s="14">
        <v>81000139165</v>
      </c>
      <c r="F489" s="2">
        <f>IFERROR(VLOOKUP(B489,M10B!B:W,22,FALSE),0)</f>
        <v>0</v>
      </c>
      <c r="G489" s="1">
        <f t="shared" si="22"/>
        <v>0</v>
      </c>
      <c r="I489" s="17"/>
    </row>
    <row r="490" spans="1:9" x14ac:dyDescent="0.2">
      <c r="A490" s="1" t="s">
        <v>792</v>
      </c>
      <c r="B490" s="1" t="s">
        <v>813</v>
      </c>
      <c r="C490" s="1">
        <v>573626607</v>
      </c>
      <c r="D490" s="2" t="s">
        <v>814</v>
      </c>
      <c r="E490" s="14">
        <v>81000139155</v>
      </c>
      <c r="F490" s="2">
        <f>IFERROR(VLOOKUP(B490,M10B!B:W,22,FALSE),0)</f>
        <v>0</v>
      </c>
      <c r="G490" s="1">
        <f t="shared" si="22"/>
        <v>0</v>
      </c>
      <c r="I490" s="17"/>
    </row>
    <row r="491" spans="1:9" x14ac:dyDescent="0.2">
      <c r="A491" s="1" t="s">
        <v>792</v>
      </c>
      <c r="B491" s="1" t="s">
        <v>811</v>
      </c>
      <c r="C491" s="1">
        <v>573626649</v>
      </c>
      <c r="D491" s="2" t="s">
        <v>812</v>
      </c>
      <c r="E491" s="14">
        <v>81000139153</v>
      </c>
      <c r="F491" s="2">
        <f>IFERROR(VLOOKUP(B491,M10B!B:W,22,FALSE),0)</f>
        <v>0</v>
      </c>
      <c r="G491" s="1">
        <f t="shared" si="22"/>
        <v>0</v>
      </c>
      <c r="I491" s="17"/>
    </row>
    <row r="492" spans="1:9" x14ac:dyDescent="0.2">
      <c r="A492" s="1" t="s">
        <v>792</v>
      </c>
      <c r="B492" s="1" t="s">
        <v>809</v>
      </c>
      <c r="C492" s="1">
        <v>573626662</v>
      </c>
      <c r="D492" s="2" t="s">
        <v>810</v>
      </c>
      <c r="E492" s="14">
        <v>81000139167</v>
      </c>
      <c r="F492" s="2">
        <f>IFERROR(VLOOKUP(B492,M10B!B:W,22,FALSE),0)</f>
        <v>0</v>
      </c>
      <c r="G492" s="1">
        <f t="shared" si="22"/>
        <v>0</v>
      </c>
      <c r="I492" s="17"/>
    </row>
    <row r="493" spans="1:9" x14ac:dyDescent="0.2">
      <c r="A493" s="1" t="s">
        <v>792</v>
      </c>
      <c r="B493" s="1" t="s">
        <v>807</v>
      </c>
      <c r="C493" s="1">
        <v>573626668</v>
      </c>
      <c r="D493" s="2" t="s">
        <v>808</v>
      </c>
      <c r="E493" s="14">
        <v>81000139164</v>
      </c>
      <c r="F493" s="2">
        <f>IFERROR(VLOOKUP(B493,M10B!B:W,22,FALSE),0)</f>
        <v>0</v>
      </c>
      <c r="G493" s="1">
        <f t="shared" si="22"/>
        <v>0</v>
      </c>
      <c r="I493" s="17"/>
    </row>
    <row r="494" spans="1:9" x14ac:dyDescent="0.2">
      <c r="A494" s="1" t="s">
        <v>792</v>
      </c>
      <c r="B494" s="1" t="s">
        <v>805</v>
      </c>
      <c r="C494" s="1">
        <v>573626660</v>
      </c>
      <c r="D494" s="2" t="s">
        <v>806</v>
      </c>
      <c r="E494" s="14">
        <v>81000139148</v>
      </c>
      <c r="F494" s="2">
        <f>IFERROR(VLOOKUP(B494,M10B!B:W,22,FALSE),0)</f>
        <v>0</v>
      </c>
      <c r="G494" s="1">
        <f t="shared" si="22"/>
        <v>0</v>
      </c>
      <c r="I494" s="17"/>
    </row>
    <row r="495" spans="1:9" x14ac:dyDescent="0.2">
      <c r="A495" s="1" t="s">
        <v>792</v>
      </c>
      <c r="B495" s="1" t="s">
        <v>803</v>
      </c>
      <c r="C495" s="1">
        <v>573626664</v>
      </c>
      <c r="D495" s="2" t="s">
        <v>804</v>
      </c>
      <c r="E495" s="14">
        <v>81000139149</v>
      </c>
      <c r="F495" s="2">
        <f>IFERROR(VLOOKUP(B495,M10B!B:W,22,FALSE),0)</f>
        <v>0</v>
      </c>
      <c r="G495" s="1">
        <f t="shared" si="22"/>
        <v>0</v>
      </c>
      <c r="I495" s="17"/>
    </row>
    <row r="496" spans="1:9" x14ac:dyDescent="0.2">
      <c r="A496" s="1" t="s">
        <v>792</v>
      </c>
      <c r="B496" s="1" t="s">
        <v>801</v>
      </c>
      <c r="C496" s="1">
        <v>573626669</v>
      </c>
      <c r="D496" s="2" t="s">
        <v>802</v>
      </c>
      <c r="E496" s="14">
        <v>81000139168</v>
      </c>
      <c r="F496" s="2">
        <f>IFERROR(VLOOKUP(B496,M10B!B:W,22,FALSE),0)</f>
        <v>0</v>
      </c>
      <c r="G496" s="1">
        <f t="shared" si="22"/>
        <v>0</v>
      </c>
      <c r="I496" s="17"/>
    </row>
    <row r="497" spans="1:9" x14ac:dyDescent="0.2">
      <c r="A497" s="1" t="s">
        <v>792</v>
      </c>
      <c r="B497" s="1" t="s">
        <v>799</v>
      </c>
      <c r="C497" s="1">
        <v>573626658</v>
      </c>
      <c r="D497" s="2" t="s">
        <v>800</v>
      </c>
      <c r="E497" s="14">
        <v>81000139151</v>
      </c>
      <c r="F497" s="2">
        <f>IFERROR(VLOOKUP(B497,M10B!B:W,22,FALSE),0)</f>
        <v>0</v>
      </c>
      <c r="G497" s="1">
        <f t="shared" si="22"/>
        <v>0</v>
      </c>
      <c r="I497" s="17"/>
    </row>
    <row r="498" spans="1:9" x14ac:dyDescent="0.2">
      <c r="A498" s="1" t="s">
        <v>792</v>
      </c>
      <c r="B498" s="1" t="s">
        <v>797</v>
      </c>
      <c r="C498" s="1">
        <v>573626698</v>
      </c>
      <c r="D498" s="2" t="s">
        <v>798</v>
      </c>
      <c r="E498" s="14">
        <v>81000139162</v>
      </c>
      <c r="F498" s="2">
        <f>IFERROR(VLOOKUP(B498,M10B!B:W,22,FALSE),0)</f>
        <v>0</v>
      </c>
      <c r="G498" s="1">
        <f t="shared" si="22"/>
        <v>0</v>
      </c>
      <c r="I498" s="17"/>
    </row>
    <row r="499" spans="1:9" x14ac:dyDescent="0.2">
      <c r="A499" s="1" t="s">
        <v>792</v>
      </c>
      <c r="B499" s="1" t="s">
        <v>795</v>
      </c>
      <c r="C499" s="1">
        <v>573626677</v>
      </c>
      <c r="D499" s="2" t="s">
        <v>796</v>
      </c>
      <c r="E499" s="14">
        <v>81000139166</v>
      </c>
      <c r="F499" s="2">
        <f>IFERROR(VLOOKUP(B499,M10B!B:W,22,FALSE),0)</f>
        <v>0</v>
      </c>
      <c r="G499" s="1">
        <f t="shared" si="22"/>
        <v>0</v>
      </c>
      <c r="I499" s="17"/>
    </row>
    <row r="500" spans="1:9" x14ac:dyDescent="0.2">
      <c r="A500" s="1" t="s">
        <v>792</v>
      </c>
      <c r="B500" s="1" t="s">
        <v>793</v>
      </c>
      <c r="C500" s="1">
        <v>573626604</v>
      </c>
      <c r="D500" s="2" t="s">
        <v>794</v>
      </c>
      <c r="E500" s="14">
        <v>81000139169</v>
      </c>
      <c r="F500" s="2">
        <f>IFERROR(VLOOKUP(B500,M10B!B:W,22,FALSE),0)</f>
        <v>0</v>
      </c>
      <c r="G500" s="1">
        <f t="shared" si="22"/>
        <v>0</v>
      </c>
      <c r="I500" s="17"/>
    </row>
    <row r="501" spans="1:9" x14ac:dyDescent="0.2">
      <c r="A501" s="1" t="s">
        <v>781</v>
      </c>
      <c r="B501" s="1" t="s">
        <v>790</v>
      </c>
      <c r="C501" s="1">
        <v>573626654</v>
      </c>
      <c r="D501" s="2" t="s">
        <v>791</v>
      </c>
      <c r="E501" s="14">
        <v>81000139158</v>
      </c>
      <c r="F501" s="2">
        <f>IFERROR(VLOOKUP(B501,M10B!B:W,22,FALSE),0)</f>
        <v>0</v>
      </c>
      <c r="G501" s="1">
        <f t="shared" si="22"/>
        <v>0</v>
      </c>
      <c r="I501" s="17"/>
    </row>
    <row r="502" spans="1:9" x14ac:dyDescent="0.2">
      <c r="A502" s="1" t="s">
        <v>781</v>
      </c>
      <c r="B502" s="1" t="s">
        <v>788</v>
      </c>
      <c r="C502" s="1">
        <v>573626671</v>
      </c>
      <c r="D502" s="2" t="s">
        <v>789</v>
      </c>
      <c r="E502" s="14">
        <v>81000139161</v>
      </c>
      <c r="F502" s="2">
        <f>IFERROR(VLOOKUP(B502,M10B!B:W,22,FALSE),0)</f>
        <v>0</v>
      </c>
      <c r="G502" s="1">
        <f t="shared" si="22"/>
        <v>0</v>
      </c>
      <c r="I502" s="17"/>
    </row>
    <row r="503" spans="1:9" x14ac:dyDescent="0.2">
      <c r="A503" s="1" t="s">
        <v>781</v>
      </c>
      <c r="B503" s="1" t="s">
        <v>786</v>
      </c>
      <c r="C503" s="1">
        <v>573626611</v>
      </c>
      <c r="D503" s="2" t="s">
        <v>787</v>
      </c>
      <c r="E503" s="14">
        <v>81000139159</v>
      </c>
      <c r="F503" s="2">
        <f>IFERROR(VLOOKUP(B503,M10B!B:W,22,FALSE),0)</f>
        <v>0</v>
      </c>
      <c r="G503" s="1">
        <f t="shared" si="22"/>
        <v>0</v>
      </c>
      <c r="I503" s="17"/>
    </row>
    <row r="504" spans="1:9" x14ac:dyDescent="0.2">
      <c r="A504" s="1" t="s">
        <v>781</v>
      </c>
      <c r="B504" s="1" t="s">
        <v>784</v>
      </c>
      <c r="C504" s="1">
        <v>573626617</v>
      </c>
      <c r="D504" s="2" t="s">
        <v>785</v>
      </c>
      <c r="E504" s="14">
        <v>81000139157</v>
      </c>
      <c r="F504" s="2">
        <f>IFERROR(VLOOKUP(B504,M10B!B:W,22,FALSE),0)</f>
        <v>0</v>
      </c>
      <c r="G504" s="1">
        <f t="shared" si="22"/>
        <v>0</v>
      </c>
      <c r="I504" s="17"/>
    </row>
    <row r="505" spans="1:9" x14ac:dyDescent="0.2">
      <c r="A505" s="1" t="s">
        <v>781</v>
      </c>
      <c r="B505" s="1" t="s">
        <v>782</v>
      </c>
      <c r="C505" s="1">
        <v>573626638</v>
      </c>
      <c r="D505" s="2" t="s">
        <v>783</v>
      </c>
      <c r="E505" s="14">
        <v>81000139160</v>
      </c>
      <c r="F505" s="2">
        <f>IFERROR(VLOOKUP(B505,M10B!B:W,22,FALSE),0)</f>
        <v>0</v>
      </c>
      <c r="G505" s="1">
        <f t="shared" si="22"/>
        <v>0</v>
      </c>
      <c r="I505" s="17"/>
    </row>
    <row r="506" spans="1:9" x14ac:dyDescent="0.2">
      <c r="A506" s="1" t="s">
        <v>772</v>
      </c>
      <c r="B506" s="1" t="s">
        <v>779</v>
      </c>
      <c r="C506" s="1">
        <v>573626517</v>
      </c>
      <c r="D506" s="2" t="s">
        <v>780</v>
      </c>
      <c r="E506" s="14">
        <v>81000139077</v>
      </c>
      <c r="F506" s="2">
        <f>IFERROR(VLOOKUP(B506,M10B!B:W,22,FALSE),0)</f>
        <v>0</v>
      </c>
      <c r="G506" s="1">
        <f t="shared" ref="G506:G514" si="23">CEILING(F506,80)</f>
        <v>0</v>
      </c>
      <c r="I506" s="17"/>
    </row>
    <row r="507" spans="1:9" x14ac:dyDescent="0.2">
      <c r="A507" s="1" t="s">
        <v>772</v>
      </c>
      <c r="B507" s="1" t="s">
        <v>777</v>
      </c>
      <c r="C507" s="1">
        <v>573626504</v>
      </c>
      <c r="D507" s="2" t="s">
        <v>778</v>
      </c>
      <c r="E507" s="14">
        <v>81000139067</v>
      </c>
      <c r="F507" s="2">
        <f>IFERROR(VLOOKUP(B507,M10B!B:W,22,FALSE),0)</f>
        <v>0</v>
      </c>
      <c r="G507" s="1">
        <f t="shared" si="23"/>
        <v>0</v>
      </c>
      <c r="I507" s="17"/>
    </row>
    <row r="508" spans="1:9" x14ac:dyDescent="0.2">
      <c r="A508" s="1" t="s">
        <v>772</v>
      </c>
      <c r="B508" s="1" t="s">
        <v>775</v>
      </c>
      <c r="C508" s="1">
        <v>573626505</v>
      </c>
      <c r="D508" s="2" t="s">
        <v>776</v>
      </c>
      <c r="E508" s="14">
        <v>81000139094</v>
      </c>
      <c r="F508" s="2">
        <f>IFERROR(VLOOKUP(B508,M10B!B:W,22,FALSE),0)</f>
        <v>0</v>
      </c>
      <c r="G508" s="1">
        <f t="shared" si="23"/>
        <v>0</v>
      </c>
      <c r="I508" s="17"/>
    </row>
    <row r="509" spans="1:9" x14ac:dyDescent="0.2">
      <c r="A509" s="1" t="s">
        <v>772</v>
      </c>
      <c r="B509" s="1" t="s">
        <v>773</v>
      </c>
      <c r="C509" s="1">
        <v>573626578</v>
      </c>
      <c r="D509" s="2" t="s">
        <v>774</v>
      </c>
      <c r="E509" s="14">
        <v>81000139078</v>
      </c>
      <c r="F509" s="2">
        <f>IFERROR(VLOOKUP(B509,M10B!B:W,22,FALSE),0)</f>
        <v>0</v>
      </c>
      <c r="G509" s="1">
        <f t="shared" si="23"/>
        <v>0</v>
      </c>
      <c r="I509" s="17"/>
    </row>
    <row r="510" spans="1:9" x14ac:dyDescent="0.2">
      <c r="A510" s="1" t="s">
        <v>763</v>
      </c>
      <c r="B510" s="1" t="s">
        <v>770</v>
      </c>
      <c r="C510" s="1">
        <v>573626572</v>
      </c>
      <c r="D510" s="2" t="s">
        <v>771</v>
      </c>
      <c r="E510" s="14">
        <v>81000139179</v>
      </c>
      <c r="F510" s="2">
        <f>IFERROR(VLOOKUP(B510,M10B!B:W,22,FALSE),0)</f>
        <v>0</v>
      </c>
      <c r="G510" s="1">
        <f t="shared" si="23"/>
        <v>0</v>
      </c>
      <c r="I510" s="17"/>
    </row>
    <row r="511" spans="1:9" x14ac:dyDescent="0.2">
      <c r="A511" s="1" t="s">
        <v>763</v>
      </c>
      <c r="B511" s="1" t="s">
        <v>768</v>
      </c>
      <c r="C511" s="1">
        <v>573626582</v>
      </c>
      <c r="D511" s="2" t="s">
        <v>769</v>
      </c>
      <c r="E511" s="14">
        <v>81000139181</v>
      </c>
      <c r="F511" s="2">
        <f>IFERROR(VLOOKUP(B511,M10B!B:W,22,FALSE),0)</f>
        <v>0</v>
      </c>
      <c r="G511" s="1">
        <f t="shared" si="23"/>
        <v>0</v>
      </c>
      <c r="I511" s="17"/>
    </row>
    <row r="512" spans="1:9" x14ac:dyDescent="0.2">
      <c r="A512" s="1" t="s">
        <v>763</v>
      </c>
      <c r="B512" s="1" t="s">
        <v>766</v>
      </c>
      <c r="C512" s="1">
        <v>573626590</v>
      </c>
      <c r="D512" s="2" t="s">
        <v>767</v>
      </c>
      <c r="E512" s="14">
        <v>81000139180</v>
      </c>
      <c r="F512" s="2">
        <f>IFERROR(VLOOKUP(B512,M10B!B:W,22,FALSE),0)</f>
        <v>0</v>
      </c>
      <c r="G512" s="1">
        <f t="shared" si="23"/>
        <v>0</v>
      </c>
      <c r="I512" s="17"/>
    </row>
    <row r="513" spans="1:9" x14ac:dyDescent="0.2">
      <c r="A513" s="1" t="s">
        <v>763</v>
      </c>
      <c r="B513" s="1" t="s">
        <v>764</v>
      </c>
      <c r="C513" s="1">
        <v>573626514</v>
      </c>
      <c r="D513" s="2" t="s">
        <v>765</v>
      </c>
      <c r="E513" s="14">
        <v>81000139178</v>
      </c>
      <c r="F513" s="2">
        <f>IFERROR(VLOOKUP(B513,M10B!B:W,22,FALSE),0)</f>
        <v>0</v>
      </c>
      <c r="G513" s="1">
        <f t="shared" si="23"/>
        <v>0</v>
      </c>
      <c r="I513" s="17"/>
    </row>
    <row r="514" spans="1:9" x14ac:dyDescent="0.2">
      <c r="A514" s="1" t="s">
        <v>844</v>
      </c>
      <c r="B514" s="1" t="s">
        <v>845</v>
      </c>
      <c r="C514" s="1">
        <v>574387552</v>
      </c>
      <c r="D514" s="2" t="s">
        <v>846</v>
      </c>
      <c r="E514" s="10">
        <v>81000139266</v>
      </c>
      <c r="F514" s="2">
        <f>IFERROR(VLOOKUP(B514,M10B!B:W,22,FALSE),0)</f>
        <v>0</v>
      </c>
      <c r="G514" s="1">
        <f t="shared" si="23"/>
        <v>0</v>
      </c>
      <c r="I514" s="17"/>
    </row>
    <row r="515" spans="1:9" x14ac:dyDescent="0.2">
      <c r="A515" s="1" t="s">
        <v>1147</v>
      </c>
      <c r="B515" s="1" t="s">
        <v>1148</v>
      </c>
      <c r="C515" s="1">
        <v>579058166</v>
      </c>
      <c r="D515" s="14" t="s">
        <v>1149</v>
      </c>
      <c r="E515" s="10">
        <v>81000139858</v>
      </c>
      <c r="F515" s="2">
        <f>IFERROR(VLOOKUP(B515,M10B!B:W,22,FALSE),0)</f>
        <v>0</v>
      </c>
      <c r="G515" s="1">
        <f t="shared" ref="G515:G550" si="24">CEILING(F515,112)</f>
        <v>0</v>
      </c>
      <c r="I515" s="17"/>
    </row>
    <row r="516" spans="1:9" x14ac:dyDescent="0.2">
      <c r="A516" s="1" t="s">
        <v>1147</v>
      </c>
      <c r="B516" s="1" t="s">
        <v>1150</v>
      </c>
      <c r="C516" s="1">
        <v>579058150</v>
      </c>
      <c r="D516" s="14" t="s">
        <v>1151</v>
      </c>
      <c r="E516" s="10">
        <v>81000139857</v>
      </c>
      <c r="F516" s="2">
        <f>IFERROR(VLOOKUP(B516,M10B!B:W,22,FALSE),0)</f>
        <v>0</v>
      </c>
      <c r="G516" s="1">
        <f t="shared" si="24"/>
        <v>0</v>
      </c>
      <c r="I516" s="17"/>
    </row>
    <row r="517" spans="1:9" x14ac:dyDescent="0.2">
      <c r="A517" s="1" t="s">
        <v>1147</v>
      </c>
      <c r="B517" s="1" t="s">
        <v>1152</v>
      </c>
      <c r="C517" s="1">
        <v>579058176</v>
      </c>
      <c r="D517" s="14" t="s">
        <v>1153</v>
      </c>
      <c r="E517" s="10">
        <v>81000139856</v>
      </c>
      <c r="F517" s="2">
        <f>IFERROR(VLOOKUP(B517,M10B!B:W,22,FALSE),0)</f>
        <v>0</v>
      </c>
      <c r="G517" s="1">
        <f t="shared" si="24"/>
        <v>0</v>
      </c>
      <c r="I517" s="17"/>
    </row>
    <row r="518" spans="1:9" x14ac:dyDescent="0.2">
      <c r="A518" s="1" t="s">
        <v>1147</v>
      </c>
      <c r="B518" s="1" t="s">
        <v>1154</v>
      </c>
      <c r="C518" s="1">
        <v>579058136</v>
      </c>
      <c r="D518" s="14" t="s">
        <v>1155</v>
      </c>
      <c r="E518" s="10">
        <v>81000139786</v>
      </c>
      <c r="F518" s="2">
        <f>IFERROR(VLOOKUP(B518,M10B!B:W,22,FALSE),0)</f>
        <v>0</v>
      </c>
      <c r="G518" s="1">
        <f t="shared" si="24"/>
        <v>0</v>
      </c>
      <c r="I518" s="17"/>
    </row>
    <row r="519" spans="1:9" x14ac:dyDescent="0.2">
      <c r="A519" s="1" t="s">
        <v>1147</v>
      </c>
      <c r="B519" s="1" t="s">
        <v>1156</v>
      </c>
      <c r="C519" s="1">
        <v>579058170</v>
      </c>
      <c r="D519" s="14" t="s">
        <v>1157</v>
      </c>
      <c r="E519" s="10">
        <v>81000139792</v>
      </c>
      <c r="F519" s="2">
        <f>IFERROR(VLOOKUP(B519,M10B!B:W,22,FALSE),0)</f>
        <v>0</v>
      </c>
      <c r="G519" s="1">
        <f t="shared" si="24"/>
        <v>0</v>
      </c>
      <c r="I519" s="17"/>
    </row>
    <row r="520" spans="1:9" x14ac:dyDescent="0.2">
      <c r="A520" s="1" t="s">
        <v>1147</v>
      </c>
      <c r="B520" s="1" t="s">
        <v>1158</v>
      </c>
      <c r="C520" s="1">
        <v>579058172</v>
      </c>
      <c r="D520" s="14" t="s">
        <v>1159</v>
      </c>
      <c r="E520" s="10">
        <v>81000139809</v>
      </c>
      <c r="F520" s="2">
        <f>IFERROR(VLOOKUP(B520,M10B!B:W,22,FALSE),0)</f>
        <v>0</v>
      </c>
      <c r="G520" s="1">
        <f t="shared" si="24"/>
        <v>0</v>
      </c>
      <c r="I520" s="17"/>
    </row>
    <row r="521" spans="1:9" x14ac:dyDescent="0.2">
      <c r="A521" s="1" t="s">
        <v>1147</v>
      </c>
      <c r="B521" s="1" t="s">
        <v>1160</v>
      </c>
      <c r="C521" s="1">
        <v>579058163</v>
      </c>
      <c r="D521" s="14" t="s">
        <v>1161</v>
      </c>
      <c r="E521" s="10">
        <v>81000139811</v>
      </c>
      <c r="F521" s="2">
        <f>IFERROR(VLOOKUP(B521,M10B!B:W,22,FALSE),0)</f>
        <v>0</v>
      </c>
      <c r="G521" s="1">
        <f t="shared" si="24"/>
        <v>0</v>
      </c>
      <c r="I521" s="17"/>
    </row>
    <row r="522" spans="1:9" x14ac:dyDescent="0.2">
      <c r="A522" s="1" t="s">
        <v>1147</v>
      </c>
      <c r="B522" s="1" t="s">
        <v>1162</v>
      </c>
      <c r="C522" s="1">
        <v>579058183</v>
      </c>
      <c r="D522" s="14" t="s">
        <v>1163</v>
      </c>
      <c r="E522" s="10">
        <v>81000139816</v>
      </c>
      <c r="F522" s="2">
        <f>IFERROR(VLOOKUP(B522,M10B!B:W,22,FALSE),0)</f>
        <v>0</v>
      </c>
      <c r="G522" s="1">
        <f t="shared" si="24"/>
        <v>0</v>
      </c>
      <c r="I522" s="17"/>
    </row>
    <row r="523" spans="1:9" x14ac:dyDescent="0.2">
      <c r="A523" s="1" t="s">
        <v>1147</v>
      </c>
      <c r="B523" s="1" t="s">
        <v>1164</v>
      </c>
      <c r="C523" s="1">
        <v>579058164</v>
      </c>
      <c r="D523" s="14" t="s">
        <v>1165</v>
      </c>
      <c r="E523" s="10">
        <v>81000139801</v>
      </c>
      <c r="F523" s="2">
        <f>IFERROR(VLOOKUP(B523,M10B!B:W,22,FALSE),0)</f>
        <v>0</v>
      </c>
      <c r="G523" s="1">
        <f t="shared" si="24"/>
        <v>0</v>
      </c>
      <c r="I523" s="17"/>
    </row>
    <row r="524" spans="1:9" x14ac:dyDescent="0.2">
      <c r="A524" s="1" t="s">
        <v>1147</v>
      </c>
      <c r="B524" s="1" t="s">
        <v>1166</v>
      </c>
      <c r="C524" s="1">
        <v>579058169</v>
      </c>
      <c r="D524" s="14" t="s">
        <v>1167</v>
      </c>
      <c r="E524" s="10">
        <v>81000139800</v>
      </c>
      <c r="F524" s="2">
        <f>IFERROR(VLOOKUP(B524,M10B!B:W,22,FALSE),0)</f>
        <v>0</v>
      </c>
      <c r="G524" s="1">
        <f t="shared" si="24"/>
        <v>0</v>
      </c>
      <c r="I524" s="17"/>
    </row>
    <row r="525" spans="1:9" x14ac:dyDescent="0.2">
      <c r="A525" s="1" t="s">
        <v>1147</v>
      </c>
      <c r="B525" s="1" t="s">
        <v>1168</v>
      </c>
      <c r="C525" s="1">
        <v>579058159</v>
      </c>
      <c r="D525" s="14" t="s">
        <v>1169</v>
      </c>
      <c r="E525" s="10">
        <v>81000139779</v>
      </c>
      <c r="F525" s="2">
        <f>IFERROR(VLOOKUP(B525,M10B!B:W,22,FALSE),0)</f>
        <v>0</v>
      </c>
      <c r="G525" s="1">
        <f t="shared" si="24"/>
        <v>0</v>
      </c>
      <c r="I525" s="17"/>
    </row>
    <row r="526" spans="1:9" x14ac:dyDescent="0.2">
      <c r="A526" s="1" t="s">
        <v>1147</v>
      </c>
      <c r="B526" s="1" t="s">
        <v>1170</v>
      </c>
      <c r="C526" s="1">
        <v>579058173</v>
      </c>
      <c r="D526" s="14" t="s">
        <v>1171</v>
      </c>
      <c r="E526" s="10">
        <v>81000139782</v>
      </c>
      <c r="F526" s="2">
        <f>IFERROR(VLOOKUP(B526,M10B!B:W,22,FALSE),0)</f>
        <v>0</v>
      </c>
      <c r="G526" s="1">
        <f t="shared" si="24"/>
        <v>0</v>
      </c>
      <c r="I526" s="17"/>
    </row>
    <row r="527" spans="1:9" x14ac:dyDescent="0.2">
      <c r="A527" s="1" t="s">
        <v>1147</v>
      </c>
      <c r="B527" s="1" t="s">
        <v>1172</v>
      </c>
      <c r="C527" s="1">
        <v>579058177</v>
      </c>
      <c r="D527" s="14" t="s">
        <v>1173</v>
      </c>
      <c r="E527" s="10">
        <v>81000139802</v>
      </c>
      <c r="F527" s="2">
        <f>IFERROR(VLOOKUP(B527,M10B!B:W,22,FALSE),0)</f>
        <v>0</v>
      </c>
      <c r="G527" s="1">
        <f t="shared" si="24"/>
        <v>0</v>
      </c>
      <c r="I527" s="17"/>
    </row>
    <row r="528" spans="1:9" x14ac:dyDescent="0.2">
      <c r="A528" s="1" t="s">
        <v>1147</v>
      </c>
      <c r="B528" s="1" t="s">
        <v>1174</v>
      </c>
      <c r="C528" s="1">
        <v>579058151</v>
      </c>
      <c r="D528" s="14" t="s">
        <v>1175</v>
      </c>
      <c r="E528" s="10">
        <v>81000139778</v>
      </c>
      <c r="F528" s="2">
        <f>IFERROR(VLOOKUP(B528,M10B!B:W,22,FALSE),0)</f>
        <v>0</v>
      </c>
      <c r="G528" s="1">
        <f t="shared" si="24"/>
        <v>0</v>
      </c>
      <c r="I528" s="17"/>
    </row>
    <row r="529" spans="1:9" x14ac:dyDescent="0.2">
      <c r="A529" s="1" t="s">
        <v>1147</v>
      </c>
      <c r="B529" s="1" t="s">
        <v>1176</v>
      </c>
      <c r="C529" s="1">
        <v>579058165</v>
      </c>
      <c r="D529" s="14" t="s">
        <v>1177</v>
      </c>
      <c r="E529" s="10">
        <v>81000139789</v>
      </c>
      <c r="F529" s="2">
        <f>IFERROR(VLOOKUP(B529,M10B!B:W,22,FALSE),0)</f>
        <v>0</v>
      </c>
      <c r="G529" s="1">
        <f t="shared" si="24"/>
        <v>0</v>
      </c>
      <c r="I529" s="17"/>
    </row>
    <row r="530" spans="1:9" x14ac:dyDescent="0.2">
      <c r="A530" s="1" t="s">
        <v>1147</v>
      </c>
      <c r="B530" s="1" t="s">
        <v>1178</v>
      </c>
      <c r="C530" s="1">
        <v>579058137</v>
      </c>
      <c r="D530" s="14" t="s">
        <v>1179</v>
      </c>
      <c r="E530" s="10">
        <v>81000139803</v>
      </c>
      <c r="F530" s="2">
        <f>IFERROR(VLOOKUP(B530,M10B!B:W,22,FALSE),0)</f>
        <v>0</v>
      </c>
      <c r="G530" s="1">
        <f t="shared" si="24"/>
        <v>0</v>
      </c>
      <c r="I530" s="17"/>
    </row>
    <row r="531" spans="1:9" x14ac:dyDescent="0.2">
      <c r="A531" s="1" t="s">
        <v>1147</v>
      </c>
      <c r="B531" s="1" t="s">
        <v>1180</v>
      </c>
      <c r="C531" s="1">
        <v>579058168</v>
      </c>
      <c r="D531" s="14" t="s">
        <v>1181</v>
      </c>
      <c r="E531" s="10">
        <v>81000139819</v>
      </c>
      <c r="F531" s="2">
        <f>IFERROR(VLOOKUP(B531,M10B!B:W,22,FALSE),0)</f>
        <v>0</v>
      </c>
      <c r="G531" s="1">
        <f t="shared" si="24"/>
        <v>0</v>
      </c>
      <c r="I531" s="17"/>
    </row>
    <row r="532" spans="1:9" x14ac:dyDescent="0.2">
      <c r="A532" s="1" t="s">
        <v>1147</v>
      </c>
      <c r="B532" s="1" t="s">
        <v>1182</v>
      </c>
      <c r="C532" s="1">
        <v>579058171</v>
      </c>
      <c r="D532" s="14" t="s">
        <v>1183</v>
      </c>
      <c r="E532" s="10">
        <v>81000139785</v>
      </c>
      <c r="F532" s="2">
        <f>IFERROR(VLOOKUP(B532,M10B!B:W,22,FALSE),0)</f>
        <v>0</v>
      </c>
      <c r="G532" s="1">
        <f t="shared" si="24"/>
        <v>0</v>
      </c>
      <c r="I532" s="17"/>
    </row>
    <row r="533" spans="1:9" x14ac:dyDescent="0.2">
      <c r="A533" s="1" t="s">
        <v>1147</v>
      </c>
      <c r="B533" s="1" t="s">
        <v>1184</v>
      </c>
      <c r="C533" s="1">
        <v>579058162</v>
      </c>
      <c r="D533" s="14" t="s">
        <v>1185</v>
      </c>
      <c r="E533" s="10">
        <v>81000139787</v>
      </c>
      <c r="F533" s="2">
        <f>IFERROR(VLOOKUP(B533,M10B!B:W,22,FALSE),0)</f>
        <v>0</v>
      </c>
      <c r="G533" s="1">
        <f t="shared" si="24"/>
        <v>0</v>
      </c>
      <c r="I533" s="17"/>
    </row>
    <row r="534" spans="1:9" x14ac:dyDescent="0.2">
      <c r="A534" s="1" t="s">
        <v>1147</v>
      </c>
      <c r="B534" s="1" t="s">
        <v>1186</v>
      </c>
      <c r="C534" s="1">
        <v>579058161</v>
      </c>
      <c r="D534" s="14" t="s">
        <v>1187</v>
      </c>
      <c r="E534" s="10">
        <v>81000139810</v>
      </c>
      <c r="F534" s="2">
        <f>IFERROR(VLOOKUP(B534,M10B!B:W,22,FALSE),0)</f>
        <v>0</v>
      </c>
      <c r="G534" s="1">
        <f t="shared" si="24"/>
        <v>0</v>
      </c>
      <c r="I534" s="17"/>
    </row>
    <row r="535" spans="1:9" x14ac:dyDescent="0.2">
      <c r="A535" s="1" t="s">
        <v>1147</v>
      </c>
      <c r="B535" s="1" t="s">
        <v>1188</v>
      </c>
      <c r="C535" s="1">
        <v>579058167</v>
      </c>
      <c r="D535" s="14" t="s">
        <v>1189</v>
      </c>
      <c r="E535" s="10">
        <v>81000139817</v>
      </c>
      <c r="F535" s="2">
        <f>IFERROR(VLOOKUP(B535,M10B!B:W,22,FALSE),0)</f>
        <v>0</v>
      </c>
      <c r="G535" s="1">
        <f t="shared" si="24"/>
        <v>0</v>
      </c>
      <c r="I535" s="17"/>
    </row>
    <row r="536" spans="1:9" x14ac:dyDescent="0.2">
      <c r="A536" s="1" t="s">
        <v>1147</v>
      </c>
      <c r="B536" s="1" t="s">
        <v>1190</v>
      </c>
      <c r="C536" s="1">
        <v>579058076</v>
      </c>
      <c r="D536" s="14" t="s">
        <v>1191</v>
      </c>
      <c r="E536" s="10">
        <v>81000139783</v>
      </c>
      <c r="F536" s="2">
        <f>IFERROR(VLOOKUP(B536,M10B!B:W,22,FALSE),0)</f>
        <v>0</v>
      </c>
      <c r="G536" s="1">
        <f t="shared" si="24"/>
        <v>0</v>
      </c>
      <c r="I536" s="17"/>
    </row>
    <row r="537" spans="1:9" x14ac:dyDescent="0.2">
      <c r="A537" s="1" t="s">
        <v>1147</v>
      </c>
      <c r="B537" s="1" t="s">
        <v>1192</v>
      </c>
      <c r="C537" s="1">
        <v>579058178</v>
      </c>
      <c r="D537" s="14" t="s">
        <v>1193</v>
      </c>
      <c r="E537" s="10">
        <v>81000139784</v>
      </c>
      <c r="F537" s="2">
        <f>IFERROR(VLOOKUP(B537,M10B!B:W,22,FALSE),0)</f>
        <v>0</v>
      </c>
      <c r="G537" s="1">
        <f t="shared" si="24"/>
        <v>0</v>
      </c>
      <c r="I537" s="17"/>
    </row>
    <row r="538" spans="1:9" x14ac:dyDescent="0.2">
      <c r="A538" s="1" t="s">
        <v>1147</v>
      </c>
      <c r="B538" s="1" t="s">
        <v>1194</v>
      </c>
      <c r="C538" s="1">
        <v>579058179</v>
      </c>
      <c r="D538" s="14" t="s">
        <v>1195</v>
      </c>
      <c r="E538" s="10">
        <v>81000139815</v>
      </c>
      <c r="F538" s="2">
        <f>IFERROR(VLOOKUP(B538,M10B!B:W,22,FALSE),0)</f>
        <v>0</v>
      </c>
      <c r="G538" s="1">
        <f t="shared" si="24"/>
        <v>0</v>
      </c>
      <c r="I538" s="17"/>
    </row>
    <row r="539" spans="1:9" x14ac:dyDescent="0.2">
      <c r="A539" s="1" t="s">
        <v>1147</v>
      </c>
      <c r="B539" s="1" t="s">
        <v>1196</v>
      </c>
      <c r="C539" s="1">
        <v>579058186</v>
      </c>
      <c r="D539" s="14" t="s">
        <v>1197</v>
      </c>
      <c r="E539" s="10">
        <v>81000139781</v>
      </c>
      <c r="F539" s="2">
        <f>IFERROR(VLOOKUP(B539,M10B!B:W,22,FALSE),0)</f>
        <v>0</v>
      </c>
      <c r="G539" s="1">
        <f t="shared" si="24"/>
        <v>0</v>
      </c>
      <c r="I539" s="17"/>
    </row>
    <row r="540" spans="1:9" x14ac:dyDescent="0.2">
      <c r="A540" s="1" t="s">
        <v>1147</v>
      </c>
      <c r="B540" s="1" t="s">
        <v>1198</v>
      </c>
      <c r="C540" s="1">
        <v>579058181</v>
      </c>
      <c r="D540" s="14" t="s">
        <v>1199</v>
      </c>
      <c r="E540" s="10">
        <v>81000139806</v>
      </c>
      <c r="F540" s="2">
        <f>IFERROR(VLOOKUP(B540,M10B!B:W,22,FALSE),0)</f>
        <v>0</v>
      </c>
      <c r="G540" s="1">
        <f t="shared" si="24"/>
        <v>0</v>
      </c>
      <c r="I540" s="17"/>
    </row>
    <row r="541" spans="1:9" x14ac:dyDescent="0.2">
      <c r="A541" s="1" t="s">
        <v>1147</v>
      </c>
      <c r="B541" s="1" t="s">
        <v>1200</v>
      </c>
      <c r="C541" s="1">
        <v>579058187</v>
      </c>
      <c r="D541" s="14" t="s">
        <v>1201</v>
      </c>
      <c r="E541" s="10">
        <v>81000139818</v>
      </c>
      <c r="F541" s="2">
        <f>IFERROR(VLOOKUP(B541,M10B!B:W,22,FALSE),0)</f>
        <v>0</v>
      </c>
      <c r="G541" s="1">
        <f t="shared" si="24"/>
        <v>0</v>
      </c>
      <c r="I541" s="17"/>
    </row>
    <row r="542" spans="1:9" x14ac:dyDescent="0.2">
      <c r="A542" s="1" t="s">
        <v>1147</v>
      </c>
      <c r="B542" s="1" t="s">
        <v>1202</v>
      </c>
      <c r="C542" s="1">
        <v>579058174</v>
      </c>
      <c r="D542" s="14" t="s">
        <v>1203</v>
      </c>
      <c r="E542" s="10">
        <v>81000139814</v>
      </c>
      <c r="F542" s="2">
        <f>IFERROR(VLOOKUP(B542,M10B!B:W,22,FALSE),0)</f>
        <v>0</v>
      </c>
      <c r="G542" s="1">
        <f t="shared" si="24"/>
        <v>0</v>
      </c>
      <c r="I542" s="17"/>
    </row>
    <row r="543" spans="1:9" x14ac:dyDescent="0.2">
      <c r="A543" s="1" t="s">
        <v>1147</v>
      </c>
      <c r="B543" s="1" t="s">
        <v>1204</v>
      </c>
      <c r="C543" s="1">
        <v>579058109</v>
      </c>
      <c r="D543" s="14" t="s">
        <v>1205</v>
      </c>
      <c r="E543" s="10">
        <v>81000139791</v>
      </c>
      <c r="F543" s="2">
        <f>IFERROR(VLOOKUP(B543,M10B!B:W,22,FALSE),0)</f>
        <v>0</v>
      </c>
      <c r="G543" s="1">
        <f t="shared" si="24"/>
        <v>0</v>
      </c>
      <c r="I543" s="17"/>
    </row>
    <row r="544" spans="1:9" x14ac:dyDescent="0.2">
      <c r="A544" s="1" t="s">
        <v>1147</v>
      </c>
      <c r="B544" s="1" t="s">
        <v>1206</v>
      </c>
      <c r="C544" s="1">
        <v>579058065</v>
      </c>
      <c r="D544" s="14" t="s">
        <v>1207</v>
      </c>
      <c r="E544" s="10">
        <v>81000139799</v>
      </c>
      <c r="F544" s="2">
        <f>IFERROR(VLOOKUP(B544,M10B!B:W,22,FALSE),0)</f>
        <v>0</v>
      </c>
      <c r="G544" s="1">
        <f t="shared" si="24"/>
        <v>0</v>
      </c>
      <c r="I544" s="17"/>
    </row>
    <row r="545" spans="1:9" x14ac:dyDescent="0.2">
      <c r="A545" s="1" t="s">
        <v>1147</v>
      </c>
      <c r="B545" s="1" t="s">
        <v>1208</v>
      </c>
      <c r="C545" s="1">
        <v>579058039</v>
      </c>
      <c r="D545" s="14" t="s">
        <v>1209</v>
      </c>
      <c r="E545" s="10">
        <v>81000139788</v>
      </c>
      <c r="F545" s="2">
        <f>IFERROR(VLOOKUP(B545,M10B!B:W,22,FALSE),0)</f>
        <v>0</v>
      </c>
      <c r="G545" s="1">
        <f t="shared" si="24"/>
        <v>0</v>
      </c>
      <c r="I545" s="17"/>
    </row>
    <row r="546" spans="1:9" x14ac:dyDescent="0.2">
      <c r="A546" s="1" t="s">
        <v>1147</v>
      </c>
      <c r="B546" s="1" t="s">
        <v>1210</v>
      </c>
      <c r="C546" s="1">
        <v>579058033</v>
      </c>
      <c r="D546" s="14" t="s">
        <v>1211</v>
      </c>
      <c r="E546" s="10">
        <v>81000139790</v>
      </c>
      <c r="F546" s="2">
        <f>IFERROR(VLOOKUP(B546,M10B!B:W,22,FALSE),0)</f>
        <v>0</v>
      </c>
      <c r="G546" s="1">
        <f t="shared" si="24"/>
        <v>0</v>
      </c>
      <c r="I546" s="17"/>
    </row>
    <row r="547" spans="1:9" x14ac:dyDescent="0.2">
      <c r="A547" s="1" t="s">
        <v>1147</v>
      </c>
      <c r="B547" s="1" t="s">
        <v>1212</v>
      </c>
      <c r="C547" s="1">
        <v>579057997</v>
      </c>
      <c r="D547" s="14" t="s">
        <v>1213</v>
      </c>
      <c r="E547" s="10">
        <v>81000139805</v>
      </c>
      <c r="F547" s="2">
        <f>IFERROR(VLOOKUP(B547,M10B!B:W,22,FALSE),0)</f>
        <v>0</v>
      </c>
      <c r="G547" s="1">
        <f t="shared" si="24"/>
        <v>0</v>
      </c>
      <c r="I547" s="17"/>
    </row>
    <row r="548" spans="1:9" x14ac:dyDescent="0.2">
      <c r="A548" s="1" t="s">
        <v>1147</v>
      </c>
      <c r="B548" s="1" t="s">
        <v>1214</v>
      </c>
      <c r="C548" s="1">
        <v>579058040</v>
      </c>
      <c r="D548" s="14" t="s">
        <v>1215</v>
      </c>
      <c r="E548" s="10">
        <v>81000139807</v>
      </c>
      <c r="F548" s="2">
        <f>IFERROR(VLOOKUP(B548,M10B!B:W,22,FALSE),0)</f>
        <v>0</v>
      </c>
      <c r="G548" s="1">
        <f t="shared" si="24"/>
        <v>0</v>
      </c>
      <c r="I548" s="17"/>
    </row>
    <row r="549" spans="1:9" x14ac:dyDescent="0.2">
      <c r="A549" s="1" t="s">
        <v>1147</v>
      </c>
      <c r="B549" s="1" t="s">
        <v>1216</v>
      </c>
      <c r="C549" s="1">
        <v>579058041</v>
      </c>
      <c r="D549" s="14" t="s">
        <v>1217</v>
      </c>
      <c r="E549" s="10">
        <v>81000139808</v>
      </c>
      <c r="F549" s="2">
        <f>IFERROR(VLOOKUP(B549,M10B!B:W,22,FALSE),0)</f>
        <v>0</v>
      </c>
      <c r="G549" s="1">
        <f t="shared" si="24"/>
        <v>0</v>
      </c>
      <c r="I549" s="17"/>
    </row>
    <row r="550" spans="1:9" x14ac:dyDescent="0.2">
      <c r="A550" s="1" t="s">
        <v>1147</v>
      </c>
      <c r="B550" s="1" t="s">
        <v>1471</v>
      </c>
      <c r="C550" s="1">
        <v>578808789</v>
      </c>
      <c r="D550" s="14" t="s">
        <v>1472</v>
      </c>
      <c r="E550" s="10">
        <v>81000139957</v>
      </c>
      <c r="F550" s="2">
        <f>IFERROR(VLOOKUP(B550,M10B!B:W,22,FALSE),0)</f>
        <v>0</v>
      </c>
      <c r="G550" s="1">
        <f t="shared" si="24"/>
        <v>0</v>
      </c>
      <c r="I550" s="17"/>
    </row>
    <row r="551" spans="1:9" x14ac:dyDescent="0.2">
      <c r="A551" s="1" t="s">
        <v>594</v>
      </c>
      <c r="B551" s="1" t="s">
        <v>1122</v>
      </c>
      <c r="C551" s="1">
        <v>578808697</v>
      </c>
      <c r="D551" s="14" t="s">
        <v>1123</v>
      </c>
      <c r="E551" s="10">
        <v>81000139963</v>
      </c>
      <c r="F551" s="2">
        <f>IFERROR(VLOOKUP(B551,M10B!B:W,22,FALSE),0)</f>
        <v>0</v>
      </c>
      <c r="G551" s="1">
        <f t="shared" ref="G551:G582" si="25">CEILING(F551,44)</f>
        <v>0</v>
      </c>
      <c r="I551" s="17"/>
    </row>
    <row r="552" spans="1:9" x14ac:dyDescent="0.2">
      <c r="A552" s="1" t="s">
        <v>594</v>
      </c>
      <c r="B552" s="1" t="s">
        <v>1124</v>
      </c>
      <c r="C552" s="1">
        <v>578808766</v>
      </c>
      <c r="D552" s="14" t="s">
        <v>1125</v>
      </c>
      <c r="E552" s="10">
        <v>81000139914</v>
      </c>
      <c r="F552" s="2">
        <f>IFERROR(VLOOKUP(B552,M10B!B:W,22,FALSE),0)</f>
        <v>0</v>
      </c>
      <c r="G552" s="1">
        <f t="shared" si="25"/>
        <v>0</v>
      </c>
      <c r="I552" s="17"/>
    </row>
    <row r="553" spans="1:9" x14ac:dyDescent="0.2">
      <c r="A553" s="1" t="s">
        <v>594</v>
      </c>
      <c r="B553" s="1" t="s">
        <v>1126</v>
      </c>
      <c r="C553" s="1">
        <v>578808770</v>
      </c>
      <c r="D553" s="14" t="s">
        <v>1127</v>
      </c>
      <c r="E553" s="10">
        <v>81000139905</v>
      </c>
      <c r="F553" s="2">
        <f>IFERROR(VLOOKUP(B553,M10B!B:W,22,FALSE),0)</f>
        <v>0</v>
      </c>
      <c r="G553" s="1">
        <f t="shared" si="25"/>
        <v>0</v>
      </c>
      <c r="I553" s="17"/>
    </row>
    <row r="554" spans="1:9" x14ac:dyDescent="0.2">
      <c r="A554" s="1" t="s">
        <v>594</v>
      </c>
      <c r="B554" s="1" t="s">
        <v>1128</v>
      </c>
      <c r="C554" s="1">
        <v>578808720</v>
      </c>
      <c r="D554" s="14" t="s">
        <v>1129</v>
      </c>
      <c r="E554" s="10">
        <v>81000139911</v>
      </c>
      <c r="F554" s="2">
        <f>IFERROR(VLOOKUP(B554,M10B!B:W,22,FALSE),0)</f>
        <v>0</v>
      </c>
      <c r="G554" s="1">
        <f t="shared" si="25"/>
        <v>0</v>
      </c>
      <c r="I554" s="17"/>
    </row>
    <row r="555" spans="1:9" x14ac:dyDescent="0.2">
      <c r="A555" s="1" t="s">
        <v>594</v>
      </c>
      <c r="B555" s="1" t="s">
        <v>1130</v>
      </c>
      <c r="C555" s="1">
        <v>578808718</v>
      </c>
      <c r="D555" s="14" t="s">
        <v>1131</v>
      </c>
      <c r="E555" s="10">
        <v>81000139934</v>
      </c>
      <c r="F555" s="2">
        <f>IFERROR(VLOOKUP(B555,M10B!B:W,22,FALSE),0)</f>
        <v>0</v>
      </c>
      <c r="G555" s="1">
        <f t="shared" si="25"/>
        <v>0</v>
      </c>
      <c r="I555" s="17"/>
    </row>
    <row r="556" spans="1:9" x14ac:dyDescent="0.2">
      <c r="A556" s="1" t="s">
        <v>594</v>
      </c>
      <c r="B556" s="1" t="s">
        <v>1132</v>
      </c>
      <c r="C556" s="1">
        <v>578808771</v>
      </c>
      <c r="D556" s="14" t="s">
        <v>1133</v>
      </c>
      <c r="E556" s="10">
        <v>81000139920</v>
      </c>
      <c r="F556" s="2">
        <f>IFERROR(VLOOKUP(B556,M10B!B:W,22,FALSE),0)</f>
        <v>0</v>
      </c>
      <c r="G556" s="1">
        <f t="shared" si="25"/>
        <v>0</v>
      </c>
      <c r="I556" s="17"/>
    </row>
    <row r="557" spans="1:9" x14ac:dyDescent="0.2">
      <c r="A557" s="1" t="s">
        <v>594</v>
      </c>
      <c r="B557" s="1" t="s">
        <v>1480</v>
      </c>
      <c r="C557" s="1">
        <v>578808779</v>
      </c>
      <c r="D557" s="14" t="s">
        <v>1481</v>
      </c>
      <c r="E557" s="10">
        <v>81000139964</v>
      </c>
      <c r="F557" s="2">
        <f>IFERROR(VLOOKUP(B557,M10B!B:W,22,FALSE),0)</f>
        <v>0</v>
      </c>
      <c r="G557" s="1">
        <f t="shared" si="25"/>
        <v>0</v>
      </c>
      <c r="I557" s="17"/>
    </row>
    <row r="558" spans="1:9" x14ac:dyDescent="0.2">
      <c r="A558" s="1" t="s">
        <v>594</v>
      </c>
      <c r="B558" s="1" t="s">
        <v>1482</v>
      </c>
      <c r="C558" s="1">
        <v>578808773</v>
      </c>
      <c r="D558" s="14" t="s">
        <v>1483</v>
      </c>
      <c r="E558" s="10">
        <v>81000139902</v>
      </c>
      <c r="F558" s="2">
        <f>IFERROR(VLOOKUP(B558,M10B!B:W,22,FALSE),0)</f>
        <v>0</v>
      </c>
      <c r="G558" s="1">
        <f t="shared" si="25"/>
        <v>0</v>
      </c>
      <c r="I558" s="17"/>
    </row>
    <row r="559" spans="1:9" x14ac:dyDescent="0.2">
      <c r="A559" s="1" t="s">
        <v>594</v>
      </c>
      <c r="B559" s="1" t="s">
        <v>1484</v>
      </c>
      <c r="C559" s="1">
        <v>578808794</v>
      </c>
      <c r="D559" s="14" t="s">
        <v>1485</v>
      </c>
      <c r="E559" s="10">
        <v>81000139900</v>
      </c>
      <c r="F559" s="2">
        <f>IFERROR(VLOOKUP(B559,M10B!B:W,22,FALSE),0)</f>
        <v>0</v>
      </c>
      <c r="G559" s="1">
        <f t="shared" si="25"/>
        <v>0</v>
      </c>
      <c r="I559" s="17"/>
    </row>
    <row r="560" spans="1:9" x14ac:dyDescent="0.2">
      <c r="A560" s="1" t="s">
        <v>594</v>
      </c>
      <c r="B560" s="1" t="s">
        <v>1486</v>
      </c>
      <c r="C560" s="1">
        <v>578808803</v>
      </c>
      <c r="D560" s="14" t="s">
        <v>1487</v>
      </c>
      <c r="E560" s="10">
        <v>81000139969</v>
      </c>
      <c r="F560" s="2">
        <f>IFERROR(VLOOKUP(B560,M10B!B:W,22,FALSE),0)</f>
        <v>0</v>
      </c>
      <c r="G560" s="1">
        <f t="shared" si="25"/>
        <v>0</v>
      </c>
      <c r="I560" s="17"/>
    </row>
    <row r="561" spans="1:9" x14ac:dyDescent="0.2">
      <c r="A561" s="1" t="s">
        <v>594</v>
      </c>
      <c r="B561" s="1" t="s">
        <v>1488</v>
      </c>
      <c r="C561" s="1">
        <v>578808795</v>
      </c>
      <c r="D561" s="14" t="s">
        <v>1489</v>
      </c>
      <c r="E561" s="10">
        <v>81000139974</v>
      </c>
      <c r="F561" s="2">
        <f>IFERROR(VLOOKUP(B561,M10B!B:W,22,FALSE),0)</f>
        <v>0</v>
      </c>
      <c r="G561" s="1">
        <f t="shared" si="25"/>
        <v>0</v>
      </c>
      <c r="I561" s="17"/>
    </row>
    <row r="562" spans="1:9" x14ac:dyDescent="0.2">
      <c r="A562" s="1" t="s">
        <v>594</v>
      </c>
      <c r="B562" s="1" t="s">
        <v>1490</v>
      </c>
      <c r="C562" s="1">
        <v>578808799</v>
      </c>
      <c r="D562" s="14" t="s">
        <v>1491</v>
      </c>
      <c r="E562" s="10">
        <v>81000139965</v>
      </c>
      <c r="F562" s="2">
        <f>IFERROR(VLOOKUP(B562,M10B!B:W,22,FALSE),0)</f>
        <v>0</v>
      </c>
      <c r="G562" s="1">
        <f t="shared" si="25"/>
        <v>0</v>
      </c>
      <c r="I562" s="17"/>
    </row>
    <row r="563" spans="1:9" x14ac:dyDescent="0.2">
      <c r="A563" s="1" t="s">
        <v>594</v>
      </c>
      <c r="B563" s="1" t="s">
        <v>1492</v>
      </c>
      <c r="C563" s="1">
        <v>578808690</v>
      </c>
      <c r="D563" s="14" t="s">
        <v>1493</v>
      </c>
      <c r="E563" s="10">
        <v>81000139970</v>
      </c>
      <c r="F563" s="2">
        <f>IFERROR(VLOOKUP(B563,M10B!B:W,22,FALSE),0)</f>
        <v>0</v>
      </c>
      <c r="G563" s="1">
        <f t="shared" si="25"/>
        <v>0</v>
      </c>
      <c r="I563" s="17"/>
    </row>
    <row r="564" spans="1:9" x14ac:dyDescent="0.2">
      <c r="A564" s="1" t="s">
        <v>594</v>
      </c>
      <c r="B564" s="1" t="s">
        <v>1494</v>
      </c>
      <c r="C564" s="1">
        <v>578808684</v>
      </c>
      <c r="D564" s="14" t="s">
        <v>1495</v>
      </c>
      <c r="E564" s="10">
        <v>81000139966</v>
      </c>
      <c r="F564" s="2">
        <f>IFERROR(VLOOKUP(B564,M10B!B:W,22,FALSE),0)</f>
        <v>0</v>
      </c>
      <c r="G564" s="1">
        <f t="shared" si="25"/>
        <v>0</v>
      </c>
      <c r="I564" s="17"/>
    </row>
    <row r="565" spans="1:9" x14ac:dyDescent="0.2">
      <c r="A565" s="1" t="s">
        <v>594</v>
      </c>
      <c r="B565" s="1" t="s">
        <v>1496</v>
      </c>
      <c r="C565" s="1">
        <v>578808685</v>
      </c>
      <c r="D565" s="14" t="s">
        <v>1497</v>
      </c>
      <c r="E565" s="10">
        <v>81000139962</v>
      </c>
      <c r="F565" s="2">
        <f>IFERROR(VLOOKUP(B565,M10B!B:W,22,FALSE),0)</f>
        <v>0</v>
      </c>
      <c r="G565" s="1">
        <f t="shared" si="25"/>
        <v>0</v>
      </c>
      <c r="I565" s="17"/>
    </row>
    <row r="566" spans="1:9" x14ac:dyDescent="0.2">
      <c r="A566" s="1" t="s">
        <v>594</v>
      </c>
      <c r="B566" s="1" t="s">
        <v>1498</v>
      </c>
      <c r="C566" s="1">
        <v>578808696</v>
      </c>
      <c r="D566" s="14" t="s">
        <v>1499</v>
      </c>
      <c r="E566" s="10">
        <v>81000139977</v>
      </c>
      <c r="F566" s="2">
        <f>IFERROR(VLOOKUP(B566,M10B!B:W,22,FALSE),0)</f>
        <v>0</v>
      </c>
      <c r="G566" s="1">
        <f t="shared" si="25"/>
        <v>0</v>
      </c>
      <c r="I566" s="17"/>
    </row>
    <row r="567" spans="1:9" x14ac:dyDescent="0.2">
      <c r="A567" s="1" t="s">
        <v>594</v>
      </c>
      <c r="B567" s="1" t="s">
        <v>1500</v>
      </c>
      <c r="C567" s="1">
        <v>578808683</v>
      </c>
      <c r="D567" s="14" t="s">
        <v>1501</v>
      </c>
      <c r="E567" s="10">
        <v>81000139981</v>
      </c>
      <c r="F567" s="2">
        <f>IFERROR(VLOOKUP(B567,M10B!B:W,22,FALSE),0)</f>
        <v>0</v>
      </c>
      <c r="G567" s="1">
        <f t="shared" si="25"/>
        <v>0</v>
      </c>
      <c r="I567" s="17"/>
    </row>
    <row r="568" spans="1:9" x14ac:dyDescent="0.2">
      <c r="A568" s="1" t="s">
        <v>594</v>
      </c>
      <c r="B568" s="1" t="s">
        <v>1502</v>
      </c>
      <c r="C568" s="1">
        <v>578808689</v>
      </c>
      <c r="D568" s="14" t="s">
        <v>1503</v>
      </c>
      <c r="E568" s="10">
        <v>81000139988</v>
      </c>
      <c r="F568" s="2">
        <f>IFERROR(VLOOKUP(B568,M10B!B:W,22,FALSE),0)</f>
        <v>0</v>
      </c>
      <c r="G568" s="1">
        <f t="shared" si="25"/>
        <v>0</v>
      </c>
      <c r="I568" s="17"/>
    </row>
    <row r="569" spans="1:9" x14ac:dyDescent="0.2">
      <c r="A569" s="1" t="s">
        <v>594</v>
      </c>
      <c r="B569" s="1" t="s">
        <v>1504</v>
      </c>
      <c r="C569" s="1">
        <v>578808711</v>
      </c>
      <c r="D569" s="14" t="s">
        <v>1505</v>
      </c>
      <c r="E569" s="10">
        <v>81000139982</v>
      </c>
      <c r="F569" s="2">
        <f>IFERROR(VLOOKUP(B569,M10B!B:W,22,FALSE),0)</f>
        <v>0</v>
      </c>
      <c r="G569" s="1">
        <f t="shared" si="25"/>
        <v>0</v>
      </c>
      <c r="I569" s="17"/>
    </row>
    <row r="570" spans="1:9" x14ac:dyDescent="0.2">
      <c r="A570" s="1" t="s">
        <v>594</v>
      </c>
      <c r="B570" s="1" t="s">
        <v>1506</v>
      </c>
      <c r="C570" s="1">
        <v>578808688</v>
      </c>
      <c r="D570" s="14" t="s">
        <v>1507</v>
      </c>
      <c r="E570" s="10">
        <v>81000139971</v>
      </c>
      <c r="F570" s="2">
        <f>IFERROR(VLOOKUP(B570,M10B!B:W,22,FALSE),0)</f>
        <v>0</v>
      </c>
      <c r="G570" s="1">
        <f t="shared" si="25"/>
        <v>0</v>
      </c>
      <c r="I570" s="17"/>
    </row>
    <row r="571" spans="1:9" x14ac:dyDescent="0.2">
      <c r="A571" s="1" t="s">
        <v>594</v>
      </c>
      <c r="B571" s="1" t="s">
        <v>1508</v>
      </c>
      <c r="C571" s="1">
        <v>578808719</v>
      </c>
      <c r="D571" s="14" t="s">
        <v>1509</v>
      </c>
      <c r="E571" s="10">
        <v>81000139972</v>
      </c>
      <c r="F571" s="2">
        <f>IFERROR(VLOOKUP(B571,M10B!B:W,22,FALSE),0)</f>
        <v>0</v>
      </c>
      <c r="G571" s="1">
        <f t="shared" si="25"/>
        <v>0</v>
      </c>
      <c r="I571" s="17"/>
    </row>
    <row r="572" spans="1:9" x14ac:dyDescent="0.2">
      <c r="A572" s="1" t="s">
        <v>594</v>
      </c>
      <c r="B572" s="1" t="s">
        <v>1510</v>
      </c>
      <c r="C572" s="1">
        <v>578808790</v>
      </c>
      <c r="D572" s="14" t="s">
        <v>1511</v>
      </c>
      <c r="E572" s="10">
        <v>81000139989</v>
      </c>
      <c r="F572" s="2">
        <f>IFERROR(VLOOKUP(B572,M10B!B:W,22,FALSE),0)</f>
        <v>0</v>
      </c>
      <c r="G572" s="1">
        <f t="shared" si="25"/>
        <v>0</v>
      </c>
      <c r="I572" s="17"/>
    </row>
    <row r="573" spans="1:9" x14ac:dyDescent="0.2">
      <c r="A573" s="1" t="s">
        <v>594</v>
      </c>
      <c r="B573" s="1" t="s">
        <v>1512</v>
      </c>
      <c r="C573" s="1">
        <v>578808714</v>
      </c>
      <c r="D573" s="14" t="s">
        <v>1513</v>
      </c>
      <c r="E573" s="10">
        <v>81000139987</v>
      </c>
      <c r="F573" s="2">
        <f>IFERROR(VLOOKUP(B573,M10B!B:W,22,FALSE),0)</f>
        <v>0</v>
      </c>
      <c r="G573" s="1">
        <f t="shared" si="25"/>
        <v>0</v>
      </c>
      <c r="I573" s="17"/>
    </row>
    <row r="574" spans="1:9" x14ac:dyDescent="0.2">
      <c r="A574" s="1" t="s">
        <v>594</v>
      </c>
      <c r="B574" s="1" t="s">
        <v>1514</v>
      </c>
      <c r="C574" s="1">
        <v>578808712</v>
      </c>
      <c r="D574" s="14" t="s">
        <v>1515</v>
      </c>
      <c r="E574" s="10">
        <v>81000139961</v>
      </c>
      <c r="F574" s="2">
        <f>IFERROR(VLOOKUP(B574,M10B!B:W,22,FALSE),0)</f>
        <v>0</v>
      </c>
      <c r="G574" s="1">
        <f t="shared" si="25"/>
        <v>0</v>
      </c>
      <c r="I574" s="17"/>
    </row>
    <row r="575" spans="1:9" x14ac:dyDescent="0.2">
      <c r="A575" s="1" t="s">
        <v>594</v>
      </c>
      <c r="B575" s="1" t="s">
        <v>1516</v>
      </c>
      <c r="C575" s="1">
        <v>578808800</v>
      </c>
      <c r="D575" s="14" t="s">
        <v>1517</v>
      </c>
      <c r="E575" s="10">
        <v>81000139986</v>
      </c>
      <c r="F575" s="2">
        <f>IFERROR(VLOOKUP(B575,M10B!B:W,22,FALSE),0)</f>
        <v>0</v>
      </c>
      <c r="G575" s="1">
        <f t="shared" si="25"/>
        <v>0</v>
      </c>
      <c r="I575" s="17"/>
    </row>
    <row r="576" spans="1:9" x14ac:dyDescent="0.2">
      <c r="A576" s="1" t="s">
        <v>594</v>
      </c>
      <c r="B576" s="1" t="s">
        <v>1518</v>
      </c>
      <c r="C576" s="1">
        <v>578808693</v>
      </c>
      <c r="D576" s="14" t="s">
        <v>1519</v>
      </c>
      <c r="E576" s="10">
        <v>81000139991</v>
      </c>
      <c r="F576" s="2">
        <f>IFERROR(VLOOKUP(B576,M10B!B:W,22,FALSE),0)</f>
        <v>0</v>
      </c>
      <c r="G576" s="1">
        <f t="shared" si="25"/>
        <v>0</v>
      </c>
      <c r="I576" s="17"/>
    </row>
    <row r="577" spans="1:9" x14ac:dyDescent="0.2">
      <c r="A577" s="1" t="s">
        <v>594</v>
      </c>
      <c r="B577" s="1" t="s">
        <v>1520</v>
      </c>
      <c r="C577" s="1">
        <v>578808722</v>
      </c>
      <c r="D577" s="14" t="s">
        <v>1521</v>
      </c>
      <c r="E577" s="10">
        <v>81000139983</v>
      </c>
      <c r="F577" s="2">
        <f>IFERROR(VLOOKUP(B577,M10B!B:W,22,FALSE),0)</f>
        <v>0</v>
      </c>
      <c r="G577" s="1">
        <f t="shared" si="25"/>
        <v>0</v>
      </c>
      <c r="I577" s="17"/>
    </row>
    <row r="578" spans="1:9" x14ac:dyDescent="0.2">
      <c r="A578" s="1" t="s">
        <v>594</v>
      </c>
      <c r="B578" s="1" t="s">
        <v>1522</v>
      </c>
      <c r="C578" s="1">
        <v>578808767</v>
      </c>
      <c r="D578" s="14" t="s">
        <v>1523</v>
      </c>
      <c r="E578" s="10">
        <v>81000139967</v>
      </c>
      <c r="F578" s="2">
        <f>IFERROR(VLOOKUP(B578,M10B!B:W,22,FALSE),0)</f>
        <v>0</v>
      </c>
      <c r="G578" s="1">
        <f t="shared" si="25"/>
        <v>0</v>
      </c>
      <c r="I578" s="17"/>
    </row>
    <row r="579" spans="1:9" x14ac:dyDescent="0.2">
      <c r="A579" s="1" t="s">
        <v>594</v>
      </c>
      <c r="B579" s="1" t="s">
        <v>1524</v>
      </c>
      <c r="C579" s="1">
        <v>578808706</v>
      </c>
      <c r="D579" s="14" t="s">
        <v>1525</v>
      </c>
      <c r="E579" s="10">
        <v>81000139942</v>
      </c>
      <c r="F579" s="2">
        <f>IFERROR(VLOOKUP(B579,M10B!B:W,22,FALSE),0)</f>
        <v>0</v>
      </c>
      <c r="G579" s="1">
        <f t="shared" si="25"/>
        <v>0</v>
      </c>
      <c r="I579" s="17"/>
    </row>
    <row r="580" spans="1:9" x14ac:dyDescent="0.2">
      <c r="A580" s="1" t="s">
        <v>594</v>
      </c>
      <c r="B580" s="1" t="s">
        <v>1526</v>
      </c>
      <c r="C580" s="1">
        <v>578808744</v>
      </c>
      <c r="D580" s="14" t="s">
        <v>1527</v>
      </c>
      <c r="E580" s="10">
        <v>81000139979</v>
      </c>
      <c r="F580" s="2">
        <f>IFERROR(VLOOKUP(B580,M10B!B:W,22,FALSE),0)</f>
        <v>0</v>
      </c>
      <c r="G580" s="1">
        <f t="shared" si="25"/>
        <v>0</v>
      </c>
      <c r="I580" s="17"/>
    </row>
    <row r="581" spans="1:9" x14ac:dyDescent="0.2">
      <c r="A581" s="1" t="s">
        <v>594</v>
      </c>
      <c r="B581" s="1" t="s">
        <v>1528</v>
      </c>
      <c r="C581" s="1">
        <v>578808702</v>
      </c>
      <c r="D581" s="14" t="s">
        <v>1529</v>
      </c>
      <c r="E581" s="10">
        <v>81000139975</v>
      </c>
      <c r="F581" s="2">
        <f>IFERROR(VLOOKUP(B581,M10B!B:W,22,FALSE),0)</f>
        <v>0</v>
      </c>
      <c r="G581" s="1">
        <f t="shared" si="25"/>
        <v>0</v>
      </c>
      <c r="I581" s="17"/>
    </row>
    <row r="582" spans="1:9" x14ac:dyDescent="0.2">
      <c r="A582" s="1" t="s">
        <v>594</v>
      </c>
      <c r="B582" s="1" t="s">
        <v>1530</v>
      </c>
      <c r="C582" s="1">
        <v>578808691</v>
      </c>
      <c r="D582" s="14" t="s">
        <v>1531</v>
      </c>
      <c r="E582" s="10">
        <v>81000139959</v>
      </c>
      <c r="F582" s="2">
        <f>IFERROR(VLOOKUP(B582,M10B!B:W,22,FALSE),0)</f>
        <v>0</v>
      </c>
      <c r="G582" s="1">
        <f t="shared" si="25"/>
        <v>0</v>
      </c>
      <c r="I582" s="17"/>
    </row>
    <row r="583" spans="1:9" x14ac:dyDescent="0.2">
      <c r="A583" s="1" t="s">
        <v>594</v>
      </c>
      <c r="B583" s="1" t="s">
        <v>1532</v>
      </c>
      <c r="C583" s="1">
        <v>578808709</v>
      </c>
      <c r="D583" s="14" t="s">
        <v>1533</v>
      </c>
      <c r="E583" s="10">
        <v>81000139976</v>
      </c>
      <c r="F583" s="2">
        <f>IFERROR(VLOOKUP(B583,M10B!B:W,22,FALSE),0)</f>
        <v>0</v>
      </c>
      <c r="G583" s="1">
        <f t="shared" ref="G583:G614" si="26">CEILING(F583,44)</f>
        <v>0</v>
      </c>
      <c r="I583" s="17"/>
    </row>
    <row r="584" spans="1:9" ht="15.75" customHeight="1" x14ac:dyDescent="0.2">
      <c r="A584" s="1" t="s">
        <v>594</v>
      </c>
      <c r="B584" s="1" t="s">
        <v>1534</v>
      </c>
      <c r="C584" s="1">
        <v>578808692</v>
      </c>
      <c r="D584" s="14" t="s">
        <v>1535</v>
      </c>
      <c r="E584" s="10">
        <v>81000139992</v>
      </c>
      <c r="F584" s="2">
        <f>IFERROR(VLOOKUP(B584,M10B!B:W,22,FALSE),0)</f>
        <v>0</v>
      </c>
      <c r="G584" s="1">
        <f t="shared" si="26"/>
        <v>0</v>
      </c>
      <c r="I584" s="17"/>
    </row>
    <row r="585" spans="1:9" x14ac:dyDescent="0.2">
      <c r="A585" s="1" t="s">
        <v>594</v>
      </c>
      <c r="B585" s="1" t="s">
        <v>1536</v>
      </c>
      <c r="C585" s="1">
        <v>578808703</v>
      </c>
      <c r="D585" s="14" t="s">
        <v>973</v>
      </c>
      <c r="E585" s="10">
        <v>81000139958</v>
      </c>
      <c r="F585" s="2">
        <f>IFERROR(VLOOKUP(B585,M10B!B:W,22,FALSE),0)</f>
        <v>0</v>
      </c>
      <c r="G585" s="1">
        <f t="shared" si="26"/>
        <v>0</v>
      </c>
      <c r="I585" s="17"/>
    </row>
    <row r="586" spans="1:9" x14ac:dyDescent="0.2">
      <c r="A586" s="1" t="s">
        <v>594</v>
      </c>
      <c r="B586" s="1" t="s">
        <v>1537</v>
      </c>
      <c r="C586" s="1">
        <v>578808694</v>
      </c>
      <c r="D586" s="14" t="s">
        <v>1538</v>
      </c>
      <c r="E586" s="10">
        <v>81000139978</v>
      </c>
      <c r="F586" s="2">
        <f>IFERROR(VLOOKUP(B586,M10B!B:W,22,FALSE),0)</f>
        <v>0</v>
      </c>
      <c r="G586" s="1">
        <f t="shared" si="26"/>
        <v>0</v>
      </c>
      <c r="I586" s="17"/>
    </row>
    <row r="587" spans="1:9" x14ac:dyDescent="0.2">
      <c r="A587" s="1" t="s">
        <v>594</v>
      </c>
      <c r="B587" s="1" t="s">
        <v>1539</v>
      </c>
      <c r="C587" s="1">
        <v>578808704</v>
      </c>
      <c r="D587" s="14" t="s">
        <v>1540</v>
      </c>
      <c r="E587" s="10">
        <v>81000139973</v>
      </c>
      <c r="F587" s="2">
        <f>IFERROR(VLOOKUP(B587,M10B!B:W,22,FALSE),0)</f>
        <v>0</v>
      </c>
      <c r="G587" s="1">
        <f t="shared" si="26"/>
        <v>0</v>
      </c>
      <c r="I587" s="17"/>
    </row>
    <row r="588" spans="1:9" x14ac:dyDescent="0.2">
      <c r="A588" s="1" t="s">
        <v>594</v>
      </c>
      <c r="B588" s="1" t="s">
        <v>1541</v>
      </c>
      <c r="C588" s="1">
        <v>578808724</v>
      </c>
      <c r="D588" s="14" t="s">
        <v>1542</v>
      </c>
      <c r="E588" s="10">
        <v>81000139985</v>
      </c>
      <c r="F588" s="2">
        <f>IFERROR(VLOOKUP(B588,M10B!B:W,22,FALSE),0)</f>
        <v>0</v>
      </c>
      <c r="G588" s="1">
        <f t="shared" si="26"/>
        <v>0</v>
      </c>
      <c r="I588" s="17"/>
    </row>
    <row r="589" spans="1:9" x14ac:dyDescent="0.2">
      <c r="A589" s="1" t="s">
        <v>594</v>
      </c>
      <c r="B589" s="1" t="s">
        <v>1543</v>
      </c>
      <c r="C589" s="1">
        <v>578808700</v>
      </c>
      <c r="D589" s="14" t="s">
        <v>595</v>
      </c>
      <c r="E589" s="10">
        <v>81000139960</v>
      </c>
      <c r="F589" s="2">
        <f>IFERROR(VLOOKUP(B589,M10B!B:W,22,FALSE),0)</f>
        <v>0</v>
      </c>
      <c r="G589" s="1">
        <f t="shared" si="26"/>
        <v>0</v>
      </c>
      <c r="I589" s="17"/>
    </row>
    <row r="590" spans="1:9" x14ac:dyDescent="0.2">
      <c r="A590" s="1" t="s">
        <v>594</v>
      </c>
      <c r="B590" s="1" t="s">
        <v>1544</v>
      </c>
      <c r="C590" s="1">
        <v>578808705</v>
      </c>
      <c r="D590" s="14" t="s">
        <v>1545</v>
      </c>
      <c r="E590" s="10">
        <v>81000139968</v>
      </c>
      <c r="F590" s="2">
        <f>IFERROR(VLOOKUP(B590,M10B!B:W,22,FALSE),0)</f>
        <v>0</v>
      </c>
      <c r="G590" s="1">
        <f t="shared" si="26"/>
        <v>0</v>
      </c>
      <c r="I590" s="17"/>
    </row>
    <row r="591" spans="1:9" x14ac:dyDescent="0.2">
      <c r="A591" s="1" t="s">
        <v>594</v>
      </c>
      <c r="B591" s="1" t="s">
        <v>1546</v>
      </c>
      <c r="C591" s="1">
        <v>578808699</v>
      </c>
      <c r="D591" s="14" t="s">
        <v>1547</v>
      </c>
      <c r="E591" s="10">
        <v>81000139990</v>
      </c>
      <c r="F591" s="2">
        <f>IFERROR(VLOOKUP(B591,M10B!B:W,22,FALSE),0)</f>
        <v>0</v>
      </c>
      <c r="G591" s="1">
        <f t="shared" si="26"/>
        <v>0</v>
      </c>
      <c r="I591" s="17"/>
    </row>
    <row r="592" spans="1:9" x14ac:dyDescent="0.2">
      <c r="A592" s="1" t="s">
        <v>594</v>
      </c>
      <c r="B592" s="1" t="s">
        <v>1548</v>
      </c>
      <c r="C592" s="1">
        <v>578808698</v>
      </c>
      <c r="D592" s="14" t="s">
        <v>1549</v>
      </c>
      <c r="E592" s="10">
        <v>81000139984</v>
      </c>
      <c r="F592" s="2">
        <f>IFERROR(VLOOKUP(B592,M10B!B:W,22,FALSE),0)</f>
        <v>0</v>
      </c>
      <c r="G592" s="1">
        <f t="shared" si="26"/>
        <v>0</v>
      </c>
      <c r="I592" s="17"/>
    </row>
    <row r="593" spans="1:9" x14ac:dyDescent="0.2">
      <c r="A593" s="1" t="s">
        <v>594</v>
      </c>
      <c r="B593" s="1" t="s">
        <v>1550</v>
      </c>
      <c r="C593" s="1">
        <v>578808713</v>
      </c>
      <c r="D593" s="14" t="s">
        <v>1551</v>
      </c>
      <c r="E593" s="10">
        <v>81000139980</v>
      </c>
      <c r="F593" s="2">
        <f>IFERROR(VLOOKUP(B593,M10B!B:W,22,FALSE),0)</f>
        <v>0</v>
      </c>
      <c r="G593" s="1">
        <f t="shared" si="26"/>
        <v>0</v>
      </c>
      <c r="I593" s="17"/>
    </row>
    <row r="594" spans="1:9" x14ac:dyDescent="0.2">
      <c r="A594" s="1" t="s">
        <v>594</v>
      </c>
      <c r="B594" s="1" t="s">
        <v>1552</v>
      </c>
      <c r="C594" s="1">
        <v>578808695</v>
      </c>
      <c r="D594" s="14" t="s">
        <v>1553</v>
      </c>
      <c r="E594" s="10">
        <v>81000139947</v>
      </c>
      <c r="F594" s="2">
        <f>IFERROR(VLOOKUP(B594,M10B!B:W,22,FALSE),0)</f>
        <v>0</v>
      </c>
      <c r="G594" s="1">
        <f t="shared" si="26"/>
        <v>0</v>
      </c>
      <c r="I594" s="17"/>
    </row>
    <row r="595" spans="1:9" x14ac:dyDescent="0.2">
      <c r="A595" s="1" t="s">
        <v>594</v>
      </c>
      <c r="B595" s="1" t="s">
        <v>1554</v>
      </c>
      <c r="C595" s="1">
        <v>578808723</v>
      </c>
      <c r="D595" s="14" t="s">
        <v>1555</v>
      </c>
      <c r="E595" s="10">
        <v>81000139913</v>
      </c>
      <c r="F595" s="2">
        <f>IFERROR(VLOOKUP(B595,M10B!B:W,22,FALSE),0)</f>
        <v>0</v>
      </c>
      <c r="G595" s="1">
        <f t="shared" si="26"/>
        <v>0</v>
      </c>
      <c r="I595" s="17"/>
    </row>
    <row r="596" spans="1:9" x14ac:dyDescent="0.2">
      <c r="A596" s="1" t="s">
        <v>594</v>
      </c>
      <c r="B596" s="1" t="s">
        <v>1556</v>
      </c>
      <c r="C596" s="1">
        <v>578808715</v>
      </c>
      <c r="D596" s="14" t="s">
        <v>1557</v>
      </c>
      <c r="E596" s="10">
        <v>81000139912</v>
      </c>
      <c r="F596" s="2">
        <f>IFERROR(VLOOKUP(B596,M10B!B:W,22,FALSE),0)</f>
        <v>0</v>
      </c>
      <c r="G596" s="1">
        <f t="shared" si="26"/>
        <v>0</v>
      </c>
      <c r="I596" s="17"/>
    </row>
    <row r="597" spans="1:9" x14ac:dyDescent="0.2">
      <c r="A597" s="1" t="s">
        <v>594</v>
      </c>
      <c r="B597" s="1" t="s">
        <v>1558</v>
      </c>
      <c r="C597" s="1">
        <v>578808761</v>
      </c>
      <c r="D597" s="14" t="s">
        <v>1559</v>
      </c>
      <c r="E597" s="10">
        <v>81000139943</v>
      </c>
      <c r="F597" s="2">
        <f>IFERROR(VLOOKUP(B597,M10B!B:W,22,FALSE),0)</f>
        <v>0</v>
      </c>
      <c r="G597" s="1">
        <f t="shared" si="26"/>
        <v>0</v>
      </c>
      <c r="I597" s="17"/>
    </row>
    <row r="598" spans="1:9" x14ac:dyDescent="0.2">
      <c r="A598" s="1" t="s">
        <v>594</v>
      </c>
      <c r="B598" s="1" t="s">
        <v>1560</v>
      </c>
      <c r="C598" s="1">
        <v>578808752</v>
      </c>
      <c r="D598" s="14" t="s">
        <v>1561</v>
      </c>
      <c r="E598" s="10">
        <v>81000139928</v>
      </c>
      <c r="F598" s="2">
        <f>IFERROR(VLOOKUP(B598,M10B!B:W,22,FALSE),0)</f>
        <v>0</v>
      </c>
      <c r="G598" s="1">
        <f t="shared" si="26"/>
        <v>0</v>
      </c>
      <c r="I598" s="17"/>
    </row>
    <row r="599" spans="1:9" x14ac:dyDescent="0.2">
      <c r="A599" s="1" t="s">
        <v>594</v>
      </c>
      <c r="B599" s="1" t="s">
        <v>1562</v>
      </c>
      <c r="C599" s="1">
        <v>578808701</v>
      </c>
      <c r="D599" s="14" t="s">
        <v>1563</v>
      </c>
      <c r="E599" s="10">
        <v>81000139938</v>
      </c>
      <c r="F599" s="2">
        <f>IFERROR(VLOOKUP(B599,M10B!B:W,22,FALSE),0)</f>
        <v>0</v>
      </c>
      <c r="G599" s="1">
        <f t="shared" si="26"/>
        <v>0</v>
      </c>
      <c r="I599" s="17"/>
    </row>
    <row r="600" spans="1:9" x14ac:dyDescent="0.2">
      <c r="A600" s="1" t="s">
        <v>594</v>
      </c>
      <c r="B600" s="1" t="s">
        <v>1564</v>
      </c>
      <c r="C600" s="1">
        <v>578808755</v>
      </c>
      <c r="D600" s="14" t="s">
        <v>1565</v>
      </c>
      <c r="E600" s="10">
        <v>81000139946</v>
      </c>
      <c r="F600" s="2">
        <f>IFERROR(VLOOKUP(B600,M10B!B:W,22,FALSE),0)</f>
        <v>0</v>
      </c>
      <c r="G600" s="1">
        <f t="shared" si="26"/>
        <v>0</v>
      </c>
      <c r="I600" s="17"/>
    </row>
    <row r="601" spans="1:9" x14ac:dyDescent="0.2">
      <c r="A601" s="1" t="s">
        <v>594</v>
      </c>
      <c r="B601" s="1" t="s">
        <v>1566</v>
      </c>
      <c r="C601" s="1">
        <v>578808717</v>
      </c>
      <c r="D601" s="14" t="s">
        <v>1567</v>
      </c>
      <c r="E601" s="10">
        <v>81000139948</v>
      </c>
      <c r="F601" s="2">
        <f>IFERROR(VLOOKUP(B601,M10B!B:W,22,FALSE),0)</f>
        <v>0</v>
      </c>
      <c r="G601" s="1">
        <f t="shared" si="26"/>
        <v>0</v>
      </c>
      <c r="I601" s="17"/>
    </row>
    <row r="602" spans="1:9" x14ac:dyDescent="0.2">
      <c r="A602" s="1" t="s">
        <v>594</v>
      </c>
      <c r="B602" s="1" t="s">
        <v>1568</v>
      </c>
      <c r="C602" s="1">
        <v>578808687</v>
      </c>
      <c r="D602" s="14" t="s">
        <v>1569</v>
      </c>
      <c r="E602" s="10">
        <v>81000139915</v>
      </c>
      <c r="F602" s="2">
        <f>IFERROR(VLOOKUP(B602,M10B!B:W,22,FALSE),0)</f>
        <v>0</v>
      </c>
      <c r="G602" s="1">
        <f t="shared" si="26"/>
        <v>0</v>
      </c>
      <c r="I602" s="17"/>
    </row>
    <row r="603" spans="1:9" x14ac:dyDescent="0.2">
      <c r="A603" s="1" t="s">
        <v>594</v>
      </c>
      <c r="B603" s="1" t="s">
        <v>1570</v>
      </c>
      <c r="C603" s="1">
        <v>578808725</v>
      </c>
      <c r="D603" s="14" t="s">
        <v>1571</v>
      </c>
      <c r="E603" s="10">
        <v>81000139950</v>
      </c>
      <c r="F603" s="2">
        <f>IFERROR(VLOOKUP(B603,M10B!B:W,22,FALSE),0)</f>
        <v>0</v>
      </c>
      <c r="G603" s="1">
        <f t="shared" si="26"/>
        <v>0</v>
      </c>
      <c r="I603" s="17"/>
    </row>
    <row r="604" spans="1:9" x14ac:dyDescent="0.2">
      <c r="A604" s="1" t="s">
        <v>594</v>
      </c>
      <c r="B604" s="1" t="s">
        <v>1572</v>
      </c>
      <c r="C604" s="1">
        <v>578808726</v>
      </c>
      <c r="D604" s="14" t="s">
        <v>1573</v>
      </c>
      <c r="E604" s="10">
        <v>81000139941</v>
      </c>
      <c r="F604" s="2">
        <f>IFERROR(VLOOKUP(B604,M10B!B:W,22,FALSE),0)</f>
        <v>0</v>
      </c>
      <c r="G604" s="1">
        <f t="shared" si="26"/>
        <v>0</v>
      </c>
      <c r="I604" s="17"/>
    </row>
    <row r="605" spans="1:9" x14ac:dyDescent="0.2">
      <c r="A605" s="1" t="s">
        <v>594</v>
      </c>
      <c r="B605" s="1" t="s">
        <v>1574</v>
      </c>
      <c r="C605" s="1">
        <v>578808751</v>
      </c>
      <c r="D605" s="14" t="s">
        <v>1575</v>
      </c>
      <c r="E605" s="10">
        <v>81000139907</v>
      </c>
      <c r="F605" s="2">
        <f>IFERROR(VLOOKUP(B605,M10B!B:W,22,FALSE),0)</f>
        <v>0</v>
      </c>
      <c r="G605" s="1">
        <f t="shared" si="26"/>
        <v>0</v>
      </c>
      <c r="I605" s="17"/>
    </row>
    <row r="606" spans="1:9" x14ac:dyDescent="0.2">
      <c r="A606" s="1" t="s">
        <v>594</v>
      </c>
      <c r="B606" s="1" t="s">
        <v>1576</v>
      </c>
      <c r="C606" s="1">
        <v>578808756</v>
      </c>
      <c r="D606" s="14" t="s">
        <v>1577</v>
      </c>
      <c r="E606" s="10">
        <v>81000139949</v>
      </c>
      <c r="F606" s="2">
        <f>IFERROR(VLOOKUP(B606,M10B!B:W,22,FALSE),0)</f>
        <v>0</v>
      </c>
      <c r="G606" s="1">
        <f t="shared" si="26"/>
        <v>0</v>
      </c>
      <c r="I606" s="17"/>
    </row>
    <row r="607" spans="1:9" x14ac:dyDescent="0.2">
      <c r="A607" s="1" t="s">
        <v>594</v>
      </c>
      <c r="B607" s="1" t="s">
        <v>1578</v>
      </c>
      <c r="C607" s="1">
        <v>578808686</v>
      </c>
      <c r="D607" s="14" t="s">
        <v>1579</v>
      </c>
      <c r="E607" s="10">
        <v>81000139910</v>
      </c>
      <c r="F607" s="2">
        <f>IFERROR(VLOOKUP(B607,M10B!B:W,22,FALSE),0)</f>
        <v>0</v>
      </c>
      <c r="G607" s="1">
        <f t="shared" si="26"/>
        <v>0</v>
      </c>
      <c r="I607" s="17"/>
    </row>
    <row r="608" spans="1:9" x14ac:dyDescent="0.2">
      <c r="A608" s="1" t="s">
        <v>594</v>
      </c>
      <c r="B608" s="1" t="s">
        <v>1580</v>
      </c>
      <c r="C608" s="1">
        <v>578808708</v>
      </c>
      <c r="D608" s="14" t="s">
        <v>1581</v>
      </c>
      <c r="E608" s="10">
        <v>81000139944</v>
      </c>
      <c r="F608" s="2">
        <f>IFERROR(VLOOKUP(B608,M10B!B:W,22,FALSE),0)</f>
        <v>0</v>
      </c>
      <c r="G608" s="1">
        <f t="shared" si="26"/>
        <v>0</v>
      </c>
      <c r="I608" s="17"/>
    </row>
    <row r="609" spans="1:9" x14ac:dyDescent="0.2">
      <c r="A609" s="1" t="s">
        <v>594</v>
      </c>
      <c r="B609" s="1" t="s">
        <v>1582</v>
      </c>
      <c r="C609" s="1">
        <v>578808716</v>
      </c>
      <c r="D609" s="14" t="s">
        <v>1583</v>
      </c>
      <c r="E609" s="10">
        <v>81000139916</v>
      </c>
      <c r="F609" s="2">
        <f>IFERROR(VLOOKUP(B609,M10B!B:W,22,FALSE),0)</f>
        <v>0</v>
      </c>
      <c r="G609" s="1">
        <f t="shared" si="26"/>
        <v>0</v>
      </c>
      <c r="I609" s="17"/>
    </row>
    <row r="610" spans="1:9" x14ac:dyDescent="0.2">
      <c r="A610" s="1" t="s">
        <v>594</v>
      </c>
      <c r="B610" s="1" t="s">
        <v>1584</v>
      </c>
      <c r="C610" s="1">
        <v>578808759</v>
      </c>
      <c r="D610" s="14" t="s">
        <v>1585</v>
      </c>
      <c r="E610" s="10">
        <v>81000139917</v>
      </c>
      <c r="F610" s="2">
        <f>IFERROR(VLOOKUP(B610,M10B!B:W,22,FALSE),0)</f>
        <v>0</v>
      </c>
      <c r="G610" s="1">
        <f t="shared" si="26"/>
        <v>0</v>
      </c>
      <c r="I610" s="17"/>
    </row>
    <row r="611" spans="1:9" x14ac:dyDescent="0.2">
      <c r="A611" s="1" t="s">
        <v>594</v>
      </c>
      <c r="B611" s="1" t="s">
        <v>1586</v>
      </c>
      <c r="C611" s="1">
        <v>578808802</v>
      </c>
      <c r="D611" s="14" t="s">
        <v>1587</v>
      </c>
      <c r="E611" s="10">
        <v>81000139909</v>
      </c>
      <c r="F611" s="2">
        <f>IFERROR(VLOOKUP(B611,M10B!B:W,22,FALSE),0)</f>
        <v>0</v>
      </c>
      <c r="G611" s="1">
        <f t="shared" si="26"/>
        <v>0</v>
      </c>
      <c r="I611" s="17"/>
    </row>
    <row r="612" spans="1:9" x14ac:dyDescent="0.2">
      <c r="A612" s="1" t="s">
        <v>594</v>
      </c>
      <c r="B612" s="1" t="s">
        <v>1588</v>
      </c>
      <c r="C612" s="1">
        <v>578808772</v>
      </c>
      <c r="D612" s="14" t="s">
        <v>1589</v>
      </c>
      <c r="E612" s="10">
        <v>81000139937</v>
      </c>
      <c r="F612" s="2">
        <f>IFERROR(VLOOKUP(B612,M10B!B:W,22,FALSE),0)</f>
        <v>0</v>
      </c>
      <c r="G612" s="1">
        <f t="shared" si="26"/>
        <v>0</v>
      </c>
      <c r="I612" s="17"/>
    </row>
    <row r="613" spans="1:9" x14ac:dyDescent="0.2">
      <c r="A613" s="1" t="s">
        <v>594</v>
      </c>
      <c r="B613" s="1" t="s">
        <v>1590</v>
      </c>
      <c r="C613" s="1">
        <v>578808763</v>
      </c>
      <c r="D613" s="14" t="s">
        <v>1591</v>
      </c>
      <c r="E613" s="10">
        <v>81000139936</v>
      </c>
      <c r="F613" s="2">
        <f>IFERROR(VLOOKUP(B613,M10B!B:W,22,FALSE),0)</f>
        <v>0</v>
      </c>
      <c r="G613" s="1">
        <f t="shared" si="26"/>
        <v>0</v>
      </c>
      <c r="I613" s="17"/>
    </row>
    <row r="614" spans="1:9" x14ac:dyDescent="0.2">
      <c r="A614" s="1" t="s">
        <v>594</v>
      </c>
      <c r="B614" s="1" t="s">
        <v>1592</v>
      </c>
      <c r="C614" s="1">
        <v>578808764</v>
      </c>
      <c r="D614" s="14" t="s">
        <v>1593</v>
      </c>
      <c r="E614" s="10">
        <v>81000139922</v>
      </c>
      <c r="F614" s="2">
        <f>IFERROR(VLOOKUP(B614,M10B!B:W,22,FALSE),0)</f>
        <v>0</v>
      </c>
      <c r="G614" s="1">
        <f t="shared" si="26"/>
        <v>0</v>
      </c>
      <c r="I614" s="17"/>
    </row>
    <row r="615" spans="1:9" x14ac:dyDescent="0.2">
      <c r="A615" s="1" t="s">
        <v>594</v>
      </c>
      <c r="B615" s="1" t="s">
        <v>1594</v>
      </c>
      <c r="C615" s="1">
        <v>578808728</v>
      </c>
      <c r="D615" s="14" t="s">
        <v>1595</v>
      </c>
      <c r="E615" s="10">
        <v>81000139932</v>
      </c>
      <c r="F615" s="2">
        <f>IFERROR(VLOOKUP(B615,M10B!B:W,22,FALSE),0)</f>
        <v>0</v>
      </c>
      <c r="G615" s="1">
        <f t="shared" ref="G615:G646" si="27">CEILING(F615,44)</f>
        <v>0</v>
      </c>
      <c r="I615" s="17"/>
    </row>
    <row r="616" spans="1:9" x14ac:dyDescent="0.2">
      <c r="A616" s="1" t="s">
        <v>594</v>
      </c>
      <c r="B616" s="1" t="s">
        <v>1596</v>
      </c>
      <c r="C616" s="1">
        <v>578808727</v>
      </c>
      <c r="D616" s="14" t="s">
        <v>1597</v>
      </c>
      <c r="E616" s="10">
        <v>81000139923</v>
      </c>
      <c r="F616" s="2">
        <f>IFERROR(VLOOKUP(B616,M10B!B:W,22,FALSE),0)</f>
        <v>0</v>
      </c>
      <c r="G616" s="1">
        <f t="shared" si="27"/>
        <v>0</v>
      </c>
      <c r="I616" s="17"/>
    </row>
    <row r="617" spans="1:9" x14ac:dyDescent="0.2">
      <c r="A617" s="1" t="s">
        <v>594</v>
      </c>
      <c r="B617" s="1" t="s">
        <v>1598</v>
      </c>
      <c r="C617" s="1">
        <v>578808760</v>
      </c>
      <c r="D617" s="14" t="s">
        <v>1599</v>
      </c>
      <c r="E617" s="10">
        <v>81000139924</v>
      </c>
      <c r="F617" s="2">
        <f>IFERROR(VLOOKUP(B617,M10B!B:W,22,FALSE),0)</f>
        <v>0</v>
      </c>
      <c r="G617" s="1">
        <f t="shared" si="27"/>
        <v>0</v>
      </c>
      <c r="I617" s="17"/>
    </row>
    <row r="618" spans="1:9" x14ac:dyDescent="0.2">
      <c r="A618" s="1" t="s">
        <v>594</v>
      </c>
      <c r="B618" s="1" t="s">
        <v>1600</v>
      </c>
      <c r="C618" s="1">
        <v>578808721</v>
      </c>
      <c r="D618" s="14" t="s">
        <v>1601</v>
      </c>
      <c r="E618" s="10">
        <v>81000139955</v>
      </c>
      <c r="F618" s="2">
        <f>IFERROR(VLOOKUP(B618,M10B!B:W,22,FALSE),0)</f>
        <v>0</v>
      </c>
      <c r="G618" s="1">
        <f t="shared" si="27"/>
        <v>0</v>
      </c>
      <c r="I618" s="17"/>
    </row>
    <row r="619" spans="1:9" x14ac:dyDescent="0.2">
      <c r="A619" s="1" t="s">
        <v>594</v>
      </c>
      <c r="B619" s="1" t="s">
        <v>1602</v>
      </c>
      <c r="C619" s="1">
        <v>578808729</v>
      </c>
      <c r="D619" s="14" t="s">
        <v>1603</v>
      </c>
      <c r="E619" s="10">
        <v>81000139893</v>
      </c>
      <c r="F619" s="2">
        <f>IFERROR(VLOOKUP(B619,M10B!B:W,22,FALSE),0)</f>
        <v>0</v>
      </c>
      <c r="G619" s="1">
        <f t="shared" si="27"/>
        <v>0</v>
      </c>
      <c r="I619" s="17"/>
    </row>
    <row r="620" spans="1:9" x14ac:dyDescent="0.2">
      <c r="A620" s="1" t="s">
        <v>594</v>
      </c>
      <c r="B620" s="1" t="s">
        <v>1604</v>
      </c>
      <c r="C620" s="1">
        <v>578808758</v>
      </c>
      <c r="D620" s="14" t="s">
        <v>1605</v>
      </c>
      <c r="E620" s="10">
        <v>81000139918</v>
      </c>
      <c r="F620" s="2">
        <f>IFERROR(VLOOKUP(B620,M10B!B:W,22,FALSE),0)</f>
        <v>0</v>
      </c>
      <c r="G620" s="1">
        <f t="shared" si="27"/>
        <v>0</v>
      </c>
      <c r="I620" s="17"/>
    </row>
    <row r="621" spans="1:9" x14ac:dyDescent="0.2">
      <c r="A621" s="1" t="s">
        <v>594</v>
      </c>
      <c r="B621" s="1" t="s">
        <v>1606</v>
      </c>
      <c r="C621" s="1">
        <v>578808806</v>
      </c>
      <c r="D621" s="14" t="s">
        <v>1607</v>
      </c>
      <c r="E621" s="10">
        <v>81000139895</v>
      </c>
      <c r="F621" s="2">
        <f>IFERROR(VLOOKUP(B621,M10B!B:W,22,FALSE),0)</f>
        <v>0</v>
      </c>
      <c r="G621" s="1">
        <f t="shared" si="27"/>
        <v>0</v>
      </c>
      <c r="I621" s="17"/>
    </row>
    <row r="622" spans="1:9" x14ac:dyDescent="0.2">
      <c r="A622" s="1" t="s">
        <v>594</v>
      </c>
      <c r="B622" s="1" t="s">
        <v>1608</v>
      </c>
      <c r="C622" s="1">
        <v>578808801</v>
      </c>
      <c r="D622" s="14" t="s">
        <v>1609</v>
      </c>
      <c r="E622" s="10">
        <v>81000139940</v>
      </c>
      <c r="F622" s="2">
        <f>IFERROR(VLOOKUP(B622,M10B!B:W,22,FALSE),0)</f>
        <v>0</v>
      </c>
      <c r="G622" s="1">
        <f t="shared" si="27"/>
        <v>0</v>
      </c>
      <c r="I622" s="17"/>
    </row>
    <row r="623" spans="1:9" x14ac:dyDescent="0.2">
      <c r="A623" s="1" t="s">
        <v>594</v>
      </c>
      <c r="B623" s="1" t="s">
        <v>1610</v>
      </c>
      <c r="C623" s="1">
        <v>578808785</v>
      </c>
      <c r="D623" s="14" t="s">
        <v>1611</v>
      </c>
      <c r="E623" s="10">
        <v>81000139908</v>
      </c>
      <c r="F623" s="2">
        <f>IFERROR(VLOOKUP(B623,M10B!B:W,22,FALSE),0)</f>
        <v>0</v>
      </c>
      <c r="G623" s="1">
        <f t="shared" si="27"/>
        <v>0</v>
      </c>
      <c r="I623" s="17"/>
    </row>
    <row r="624" spans="1:9" x14ac:dyDescent="0.2">
      <c r="A624" s="1" t="s">
        <v>594</v>
      </c>
      <c r="B624" s="1" t="s">
        <v>1612</v>
      </c>
      <c r="C624" s="1">
        <v>578808710</v>
      </c>
      <c r="D624" s="14" t="s">
        <v>1613</v>
      </c>
      <c r="E624" s="10">
        <v>81000139899</v>
      </c>
      <c r="F624" s="2">
        <f>IFERROR(VLOOKUP(B624,M10B!B:W,22,FALSE),0)</f>
        <v>0</v>
      </c>
      <c r="G624" s="1">
        <f t="shared" si="27"/>
        <v>0</v>
      </c>
      <c r="I624" s="17"/>
    </row>
    <row r="625" spans="1:9" x14ac:dyDescent="0.2">
      <c r="A625" s="1" t="s">
        <v>594</v>
      </c>
      <c r="B625" s="1" t="s">
        <v>1614</v>
      </c>
      <c r="C625" s="1">
        <v>578808781</v>
      </c>
      <c r="D625" s="14" t="s">
        <v>1615</v>
      </c>
      <c r="E625" s="10">
        <v>81000139897</v>
      </c>
      <c r="F625" s="2">
        <f>IFERROR(VLOOKUP(B625,M10B!B:W,22,FALSE),0)</f>
        <v>0</v>
      </c>
      <c r="G625" s="1">
        <f t="shared" si="27"/>
        <v>0</v>
      </c>
      <c r="I625" s="17"/>
    </row>
    <row r="626" spans="1:9" x14ac:dyDescent="0.2">
      <c r="A626" s="1" t="s">
        <v>594</v>
      </c>
      <c r="B626" s="1" t="s">
        <v>1616</v>
      </c>
      <c r="C626" s="1">
        <v>578808769</v>
      </c>
      <c r="D626" s="14" t="s">
        <v>1617</v>
      </c>
      <c r="E626" s="10">
        <v>81000139945</v>
      </c>
      <c r="F626" s="2">
        <f>IFERROR(VLOOKUP(B626,M10B!B:W,22,FALSE),0)</f>
        <v>0</v>
      </c>
      <c r="G626" s="1">
        <f t="shared" si="27"/>
        <v>0</v>
      </c>
      <c r="I626" s="17"/>
    </row>
    <row r="627" spans="1:9" x14ac:dyDescent="0.2">
      <c r="A627" s="1" t="s">
        <v>594</v>
      </c>
      <c r="B627" s="1" t="s">
        <v>1618</v>
      </c>
      <c r="C627" s="1">
        <v>578808780</v>
      </c>
      <c r="D627" s="14" t="s">
        <v>1619</v>
      </c>
      <c r="E627" s="10">
        <v>81000139931</v>
      </c>
      <c r="F627" s="2">
        <f>IFERROR(VLOOKUP(B627,M10B!B:W,22,FALSE),0)</f>
        <v>0</v>
      </c>
      <c r="G627" s="1">
        <f t="shared" si="27"/>
        <v>0</v>
      </c>
      <c r="I627" s="17"/>
    </row>
    <row r="628" spans="1:9" x14ac:dyDescent="0.2">
      <c r="A628" s="1" t="s">
        <v>594</v>
      </c>
      <c r="B628" s="1" t="s">
        <v>1620</v>
      </c>
      <c r="C628" s="1">
        <v>578808730</v>
      </c>
      <c r="D628" s="14" t="s">
        <v>1621</v>
      </c>
      <c r="E628" s="10">
        <v>81000139896</v>
      </c>
      <c r="F628" s="2">
        <f>IFERROR(VLOOKUP(B628,M10B!B:W,22,FALSE),0)</f>
        <v>0</v>
      </c>
      <c r="G628" s="1">
        <f t="shared" si="27"/>
        <v>0</v>
      </c>
      <c r="I628" s="17"/>
    </row>
    <row r="629" spans="1:9" x14ac:dyDescent="0.2">
      <c r="A629" s="1" t="s">
        <v>594</v>
      </c>
      <c r="B629" s="1" t="s">
        <v>1622</v>
      </c>
      <c r="C629" s="1">
        <v>578808733</v>
      </c>
      <c r="D629" s="14" t="s">
        <v>1623</v>
      </c>
      <c r="E629" s="10">
        <v>81000139903</v>
      </c>
      <c r="F629" s="2">
        <f>IFERROR(VLOOKUP(B629,M10B!B:W,22,FALSE),0)</f>
        <v>0</v>
      </c>
      <c r="G629" s="1">
        <f t="shared" si="27"/>
        <v>0</v>
      </c>
      <c r="I629" s="17"/>
    </row>
    <row r="630" spans="1:9" x14ac:dyDescent="0.2">
      <c r="A630" s="1" t="s">
        <v>594</v>
      </c>
      <c r="B630" s="1" t="s">
        <v>1624</v>
      </c>
      <c r="C630" s="1">
        <v>578808732</v>
      </c>
      <c r="D630" s="14" t="s">
        <v>1625</v>
      </c>
      <c r="E630" s="10">
        <v>81000139919</v>
      </c>
      <c r="F630" s="2">
        <f>IFERROR(VLOOKUP(B630,M10B!B:W,22,FALSE),0)</f>
        <v>0</v>
      </c>
      <c r="G630" s="1">
        <f t="shared" si="27"/>
        <v>0</v>
      </c>
      <c r="I630" s="17"/>
    </row>
    <row r="631" spans="1:9" x14ac:dyDescent="0.2">
      <c r="A631" s="1" t="s">
        <v>594</v>
      </c>
      <c r="B631" s="1" t="s">
        <v>1626</v>
      </c>
      <c r="C631" s="1">
        <v>578808731</v>
      </c>
      <c r="D631" s="14" t="s">
        <v>1627</v>
      </c>
      <c r="E631" s="10">
        <v>81000139929</v>
      </c>
      <c r="F631" s="2">
        <f>IFERROR(VLOOKUP(B631,M10B!B:W,22,FALSE),0)</f>
        <v>0</v>
      </c>
      <c r="G631" s="1">
        <f t="shared" si="27"/>
        <v>0</v>
      </c>
      <c r="I631" s="17"/>
    </row>
    <row r="632" spans="1:9" x14ac:dyDescent="0.2">
      <c r="A632" s="1" t="s">
        <v>594</v>
      </c>
      <c r="B632" s="1" t="s">
        <v>1628</v>
      </c>
      <c r="C632" s="1">
        <v>578808765</v>
      </c>
      <c r="D632" s="14" t="s">
        <v>1629</v>
      </c>
      <c r="E632" s="10">
        <v>81000139921</v>
      </c>
      <c r="F632" s="2">
        <f>IFERROR(VLOOKUP(B632,M10B!B:W,22,FALSE),0)</f>
        <v>0</v>
      </c>
      <c r="G632" s="1">
        <f t="shared" si="27"/>
        <v>0</v>
      </c>
      <c r="I632" s="17"/>
    </row>
    <row r="633" spans="1:9" x14ac:dyDescent="0.2">
      <c r="A633" s="1" t="s">
        <v>594</v>
      </c>
      <c r="B633" s="1" t="s">
        <v>1630</v>
      </c>
      <c r="C633" s="1">
        <v>578808762</v>
      </c>
      <c r="D633" s="14" t="s">
        <v>1631</v>
      </c>
      <c r="E633" s="10">
        <v>81000139926</v>
      </c>
      <c r="F633" s="2">
        <f>IFERROR(VLOOKUP(B633,M10B!B:W,22,FALSE),0)</f>
        <v>0</v>
      </c>
      <c r="G633" s="1">
        <f t="shared" si="27"/>
        <v>0</v>
      </c>
      <c r="I633" s="17"/>
    </row>
    <row r="634" spans="1:9" x14ac:dyDescent="0.2">
      <c r="A634" s="1" t="s">
        <v>594</v>
      </c>
      <c r="B634" s="1" t="s">
        <v>1632</v>
      </c>
      <c r="C634" s="1">
        <v>578808768</v>
      </c>
      <c r="D634" s="14" t="s">
        <v>1633</v>
      </c>
      <c r="E634" s="10">
        <v>81000139935</v>
      </c>
      <c r="F634" s="2">
        <f>IFERROR(VLOOKUP(B634,M10B!B:W,22,FALSE),0)</f>
        <v>0</v>
      </c>
      <c r="G634" s="1">
        <f t="shared" si="27"/>
        <v>0</v>
      </c>
      <c r="I634" s="17"/>
    </row>
    <row r="635" spans="1:9" x14ac:dyDescent="0.2">
      <c r="A635" s="1" t="s">
        <v>594</v>
      </c>
      <c r="B635" s="1" t="s">
        <v>1634</v>
      </c>
      <c r="C635" s="1">
        <v>578808777</v>
      </c>
      <c r="D635" s="14" t="s">
        <v>1635</v>
      </c>
      <c r="E635" s="10">
        <v>81000139933</v>
      </c>
      <c r="F635" s="2">
        <f>IFERROR(VLOOKUP(B635,M10B!B:W,22,FALSE),0)</f>
        <v>0</v>
      </c>
      <c r="G635" s="1">
        <f t="shared" si="27"/>
        <v>0</v>
      </c>
      <c r="I635" s="17"/>
    </row>
    <row r="636" spans="1:9" x14ac:dyDescent="0.2">
      <c r="A636" s="1" t="s">
        <v>594</v>
      </c>
      <c r="B636" s="1" t="s">
        <v>1636</v>
      </c>
      <c r="C636" s="1">
        <v>578808793</v>
      </c>
      <c r="D636" s="14" t="s">
        <v>1637</v>
      </c>
      <c r="E636" s="10">
        <v>81000139906</v>
      </c>
      <c r="F636" s="2">
        <f>IFERROR(VLOOKUP(B636,M10B!B:W,22,FALSE),0)</f>
        <v>0</v>
      </c>
      <c r="G636" s="1">
        <f t="shared" si="27"/>
        <v>0</v>
      </c>
      <c r="I636" s="17"/>
    </row>
    <row r="637" spans="1:9" x14ac:dyDescent="0.2">
      <c r="A637" s="1" t="s">
        <v>594</v>
      </c>
      <c r="B637" s="1" t="s">
        <v>1638</v>
      </c>
      <c r="C637" s="1">
        <v>578808782</v>
      </c>
      <c r="D637" s="14" t="s">
        <v>1639</v>
      </c>
      <c r="E637" s="10">
        <v>81000139956</v>
      </c>
      <c r="F637" s="2">
        <f>IFERROR(VLOOKUP(B637,M10B!B:W,22,FALSE),0)</f>
        <v>0</v>
      </c>
      <c r="G637" s="1">
        <f t="shared" si="27"/>
        <v>0</v>
      </c>
      <c r="I637" s="17"/>
    </row>
    <row r="638" spans="1:9" x14ac:dyDescent="0.2">
      <c r="A638" s="1" t="s">
        <v>594</v>
      </c>
      <c r="B638" s="1" t="s">
        <v>1640</v>
      </c>
      <c r="C638" s="1">
        <v>578808775</v>
      </c>
      <c r="D638" s="14" t="s">
        <v>1641</v>
      </c>
      <c r="E638" s="10">
        <v>81000139927</v>
      </c>
      <c r="F638" s="2">
        <f>IFERROR(VLOOKUP(B638,M10B!B:W,22,FALSE),0)</f>
        <v>0</v>
      </c>
      <c r="G638" s="1">
        <f t="shared" si="27"/>
        <v>0</v>
      </c>
      <c r="I638" s="17"/>
    </row>
    <row r="639" spans="1:9" x14ac:dyDescent="0.2">
      <c r="A639" s="1" t="s">
        <v>594</v>
      </c>
      <c r="B639" s="1" t="s">
        <v>1642</v>
      </c>
      <c r="C639" s="1">
        <v>578808783</v>
      </c>
      <c r="D639" s="14" t="s">
        <v>1643</v>
      </c>
      <c r="E639" s="10">
        <v>81000139951</v>
      </c>
      <c r="F639" s="2">
        <f>IFERROR(VLOOKUP(B639,M10B!B:W,22,FALSE),0)</f>
        <v>0</v>
      </c>
      <c r="G639" s="1">
        <f t="shared" si="27"/>
        <v>0</v>
      </c>
      <c r="I639" s="17"/>
    </row>
    <row r="640" spans="1:9" x14ac:dyDescent="0.2">
      <c r="A640" s="1" t="s">
        <v>594</v>
      </c>
      <c r="B640" s="1" t="s">
        <v>1644</v>
      </c>
      <c r="C640" s="1">
        <v>578808791</v>
      </c>
      <c r="D640" s="14" t="s">
        <v>1645</v>
      </c>
      <c r="E640" s="10">
        <v>81000139898</v>
      </c>
      <c r="F640" s="2">
        <f>IFERROR(VLOOKUP(B640,M10B!B:W,22,FALSE),0)</f>
        <v>0</v>
      </c>
      <c r="G640" s="1">
        <f t="shared" si="27"/>
        <v>0</v>
      </c>
      <c r="I640" s="17"/>
    </row>
    <row r="641" spans="1:9" x14ac:dyDescent="0.2">
      <c r="A641" s="1" t="s">
        <v>594</v>
      </c>
      <c r="B641" s="1" t="s">
        <v>1646</v>
      </c>
      <c r="C641" s="1">
        <v>578808792</v>
      </c>
      <c r="D641" s="14" t="s">
        <v>1647</v>
      </c>
      <c r="E641" s="10">
        <v>81000139954</v>
      </c>
      <c r="F641" s="2">
        <f>IFERROR(VLOOKUP(B641,M10B!B:W,22,FALSE),0)</f>
        <v>0</v>
      </c>
      <c r="G641" s="1">
        <f t="shared" si="27"/>
        <v>0</v>
      </c>
      <c r="I641" s="17"/>
    </row>
    <row r="642" spans="1:9" x14ac:dyDescent="0.2">
      <c r="A642" s="1" t="s">
        <v>594</v>
      </c>
      <c r="B642" s="1" t="s">
        <v>1648</v>
      </c>
      <c r="C642" s="1">
        <v>578808776</v>
      </c>
      <c r="D642" s="14" t="s">
        <v>1649</v>
      </c>
      <c r="E642" s="10">
        <v>81000139901</v>
      </c>
      <c r="F642" s="2">
        <f>IFERROR(VLOOKUP(B642,M10B!B:W,22,FALSE),0)</f>
        <v>0</v>
      </c>
      <c r="G642" s="1">
        <f t="shared" si="27"/>
        <v>0</v>
      </c>
      <c r="I642" s="17"/>
    </row>
    <row r="643" spans="1:9" x14ac:dyDescent="0.2">
      <c r="A643" s="1" t="s">
        <v>594</v>
      </c>
      <c r="B643" s="1" t="s">
        <v>1650</v>
      </c>
      <c r="C643" s="1">
        <v>578808734</v>
      </c>
      <c r="D643" s="14" t="s">
        <v>1651</v>
      </c>
      <c r="E643" s="10">
        <v>81000139925</v>
      </c>
      <c r="F643" s="2">
        <f>IFERROR(VLOOKUP(B643,M10B!B:W,22,FALSE),0)</f>
        <v>0</v>
      </c>
      <c r="G643" s="1">
        <f t="shared" si="27"/>
        <v>0</v>
      </c>
      <c r="I643" s="17"/>
    </row>
    <row r="644" spans="1:9" x14ac:dyDescent="0.2">
      <c r="A644" s="1" t="s">
        <v>594</v>
      </c>
      <c r="B644" s="1" t="s">
        <v>1652</v>
      </c>
      <c r="C644" s="1">
        <v>578808784</v>
      </c>
      <c r="D644" s="14" t="s">
        <v>1653</v>
      </c>
      <c r="E644" s="10">
        <v>81000139939</v>
      </c>
      <c r="F644" s="2">
        <f>IFERROR(VLOOKUP(B644,M10B!B:W,22,FALSE),0)</f>
        <v>0</v>
      </c>
      <c r="G644" s="1">
        <f t="shared" si="27"/>
        <v>0</v>
      </c>
      <c r="I644" s="17"/>
    </row>
    <row r="645" spans="1:9" x14ac:dyDescent="0.2">
      <c r="A645" s="1" t="s">
        <v>594</v>
      </c>
      <c r="B645" s="1" t="s">
        <v>1654</v>
      </c>
      <c r="C645" s="1">
        <v>578808774</v>
      </c>
      <c r="D645" s="14" t="s">
        <v>1655</v>
      </c>
      <c r="E645" s="10">
        <v>81000139952</v>
      </c>
      <c r="F645" s="2">
        <f>IFERROR(VLOOKUP(B645,M10B!B:W,22,FALSE),0)</f>
        <v>0</v>
      </c>
      <c r="G645" s="1">
        <f t="shared" si="27"/>
        <v>0</v>
      </c>
      <c r="I645" s="17"/>
    </row>
    <row r="646" spans="1:9" x14ac:dyDescent="0.2">
      <c r="A646" s="1" t="s">
        <v>594</v>
      </c>
      <c r="B646" s="1" t="s">
        <v>1656</v>
      </c>
      <c r="C646" s="1">
        <v>578808805</v>
      </c>
      <c r="D646" s="14" t="s">
        <v>1657</v>
      </c>
      <c r="E646" s="10">
        <v>81000139953</v>
      </c>
      <c r="F646" s="2">
        <f>IFERROR(VLOOKUP(B646,M10B!B:W,22,FALSE),0)</f>
        <v>0</v>
      </c>
      <c r="G646" s="1">
        <f t="shared" si="27"/>
        <v>0</v>
      </c>
      <c r="I646" s="17"/>
    </row>
    <row r="647" spans="1:9" x14ac:dyDescent="0.2">
      <c r="A647" s="1" t="s">
        <v>594</v>
      </c>
      <c r="B647" s="1" t="s">
        <v>1658</v>
      </c>
      <c r="C647" s="1">
        <v>578808804</v>
      </c>
      <c r="D647" s="14" t="s">
        <v>1659</v>
      </c>
      <c r="E647" s="10">
        <v>81000139930</v>
      </c>
      <c r="F647" s="2">
        <f>IFERROR(VLOOKUP(B647,M10B!B:W,22,FALSE),0)</f>
        <v>0</v>
      </c>
      <c r="G647" s="1">
        <f t="shared" ref="G647:G649" si="28">CEILING(F647,44)</f>
        <v>0</v>
      </c>
      <c r="I647" s="17"/>
    </row>
    <row r="648" spans="1:9" x14ac:dyDescent="0.2">
      <c r="A648" s="1" t="s">
        <v>594</v>
      </c>
      <c r="B648" s="1" t="s">
        <v>1660</v>
      </c>
      <c r="C648" s="1">
        <v>578808797</v>
      </c>
      <c r="D648" s="14" t="s">
        <v>1661</v>
      </c>
      <c r="E648" s="10">
        <v>81000139904</v>
      </c>
      <c r="F648" s="2">
        <f>IFERROR(VLOOKUP(B648,M10B!B:W,22,FALSE),0)</f>
        <v>0</v>
      </c>
      <c r="G648" s="1">
        <f t="shared" si="28"/>
        <v>0</v>
      </c>
      <c r="I648" s="17"/>
    </row>
    <row r="649" spans="1:9" x14ac:dyDescent="0.2">
      <c r="A649" s="1" t="s">
        <v>594</v>
      </c>
      <c r="B649" s="1" t="s">
        <v>1662</v>
      </c>
      <c r="C649" s="1">
        <v>578808796</v>
      </c>
      <c r="D649" s="14" t="s">
        <v>1663</v>
      </c>
      <c r="E649" s="10">
        <v>81000139894</v>
      </c>
      <c r="F649" s="2">
        <f>IFERROR(VLOOKUP(B649,M10B!B:W,22,FALSE),0)</f>
        <v>0</v>
      </c>
      <c r="G649" s="1">
        <f t="shared" si="28"/>
        <v>0</v>
      </c>
      <c r="I649" s="17"/>
    </row>
    <row r="650" spans="1:9" x14ac:dyDescent="0.2">
      <c r="A650" s="1" t="s">
        <v>1473</v>
      </c>
      <c r="B650" s="1" t="s">
        <v>1474</v>
      </c>
      <c r="C650" s="1">
        <v>578808748</v>
      </c>
      <c r="D650" s="14" t="s">
        <v>1475</v>
      </c>
      <c r="E650" s="10">
        <v>81000139892</v>
      </c>
      <c r="F650" s="2">
        <f>IFERROR(VLOOKUP(B650,M10B!B:W,22,FALSE),0)</f>
        <v>0</v>
      </c>
      <c r="G650" s="1">
        <f t="shared" ref="G650:G658" si="29">CEILING(F650,80)</f>
        <v>0</v>
      </c>
      <c r="I650" s="17"/>
    </row>
    <row r="651" spans="1:9" x14ac:dyDescent="0.2">
      <c r="A651" s="1" t="s">
        <v>1473</v>
      </c>
      <c r="B651" s="1" t="s">
        <v>1476</v>
      </c>
      <c r="C651" s="1">
        <v>578808739</v>
      </c>
      <c r="D651" s="14" t="s">
        <v>1477</v>
      </c>
      <c r="E651" s="10">
        <v>81000139890</v>
      </c>
      <c r="F651" s="2">
        <f>IFERROR(VLOOKUP(B651,M10B!B:W,22,FALSE),0)</f>
        <v>0</v>
      </c>
      <c r="G651" s="1">
        <f t="shared" si="29"/>
        <v>0</v>
      </c>
      <c r="I651" s="17"/>
    </row>
    <row r="652" spans="1:9" x14ac:dyDescent="0.2">
      <c r="A652" s="1" t="s">
        <v>1473</v>
      </c>
      <c r="B652" s="1" t="s">
        <v>1478</v>
      </c>
      <c r="C652" s="1">
        <v>578808707</v>
      </c>
      <c r="D652" s="14" t="s">
        <v>1479</v>
      </c>
      <c r="E652" s="10">
        <v>81000139891</v>
      </c>
      <c r="F652" s="2">
        <f>IFERROR(VLOOKUP(B652,M10B!B:W,22,FALSE),0)</f>
        <v>0</v>
      </c>
      <c r="G652" s="1">
        <f t="shared" si="29"/>
        <v>0</v>
      </c>
      <c r="I652" s="17"/>
    </row>
    <row r="653" spans="1:9" x14ac:dyDescent="0.2">
      <c r="A653" s="1" t="s">
        <v>1134</v>
      </c>
      <c r="B653" s="1" t="s">
        <v>1135</v>
      </c>
      <c r="C653" s="1">
        <v>579058148</v>
      </c>
      <c r="D653" s="14" t="s">
        <v>1136</v>
      </c>
      <c r="E653" s="10">
        <v>81000139522</v>
      </c>
      <c r="F653" s="2">
        <f>IFERROR(VLOOKUP(B653,M10B!B:W,22,FALSE),0)</f>
        <v>0</v>
      </c>
      <c r="G653" s="1">
        <f t="shared" si="29"/>
        <v>0</v>
      </c>
      <c r="I653" s="17"/>
    </row>
    <row r="654" spans="1:9" x14ac:dyDescent="0.2">
      <c r="A654" s="1" t="s">
        <v>1134</v>
      </c>
      <c r="B654" s="1" t="s">
        <v>1137</v>
      </c>
      <c r="C654" s="1">
        <v>579058144</v>
      </c>
      <c r="D654" s="14" t="s">
        <v>1138</v>
      </c>
      <c r="E654" s="10">
        <v>81000139540</v>
      </c>
      <c r="F654" s="2">
        <f>IFERROR(VLOOKUP(B654,M10B!B:W,22,FALSE),0)</f>
        <v>0</v>
      </c>
      <c r="G654" s="1">
        <f t="shared" si="29"/>
        <v>0</v>
      </c>
      <c r="I654" s="17"/>
    </row>
    <row r="655" spans="1:9" x14ac:dyDescent="0.2">
      <c r="A655" s="1" t="s">
        <v>1134</v>
      </c>
      <c r="B655" s="1" t="s">
        <v>1139</v>
      </c>
      <c r="C655" s="1">
        <v>579058184</v>
      </c>
      <c r="D655" s="14" t="s">
        <v>1140</v>
      </c>
      <c r="E655" s="10">
        <v>81000139541</v>
      </c>
      <c r="F655" s="2">
        <f>IFERROR(VLOOKUP(B655,M10B!B:W,22,FALSE),0)</f>
        <v>0</v>
      </c>
      <c r="G655" s="1">
        <f t="shared" si="29"/>
        <v>0</v>
      </c>
      <c r="I655" s="17"/>
    </row>
    <row r="656" spans="1:9" x14ac:dyDescent="0.2">
      <c r="A656" s="1" t="s">
        <v>1134</v>
      </c>
      <c r="B656" s="1" t="s">
        <v>1141</v>
      </c>
      <c r="C656" s="1">
        <v>579058135</v>
      </c>
      <c r="D656" s="14" t="s">
        <v>1142</v>
      </c>
      <c r="E656" s="10">
        <v>81000139542</v>
      </c>
      <c r="F656" s="2">
        <f>IFERROR(VLOOKUP(B656,M10B!B:W,22,FALSE),0)</f>
        <v>0</v>
      </c>
      <c r="G656" s="1">
        <f t="shared" si="29"/>
        <v>0</v>
      </c>
      <c r="I656" s="17"/>
    </row>
    <row r="657" spans="1:9" x14ac:dyDescent="0.2">
      <c r="A657" s="1" t="s">
        <v>1134</v>
      </c>
      <c r="B657" s="1" t="s">
        <v>1143</v>
      </c>
      <c r="C657" s="1">
        <v>579058147</v>
      </c>
      <c r="D657" s="14" t="s">
        <v>1144</v>
      </c>
      <c r="E657" s="10">
        <v>81000139515</v>
      </c>
      <c r="F657" s="2">
        <f>IFERROR(VLOOKUP(B657,M10B!B:W,22,FALSE),0)</f>
        <v>0</v>
      </c>
      <c r="G657" s="1">
        <f t="shared" si="29"/>
        <v>0</v>
      </c>
      <c r="I657" s="17"/>
    </row>
    <row r="658" spans="1:9" x14ac:dyDescent="0.2">
      <c r="A658" s="1" t="s">
        <v>1134</v>
      </c>
      <c r="B658" s="1" t="s">
        <v>1145</v>
      </c>
      <c r="C658" s="1">
        <v>579058155</v>
      </c>
      <c r="D658" s="14" t="s">
        <v>1146</v>
      </c>
      <c r="E658" s="10">
        <v>81000139516</v>
      </c>
      <c r="F658" s="2">
        <f>IFERROR(VLOOKUP(B658,M10B!B:W,22,FALSE),0)</f>
        <v>0</v>
      </c>
      <c r="G658" s="1">
        <f t="shared" si="29"/>
        <v>0</v>
      </c>
      <c r="I658" s="17"/>
    </row>
    <row r="659" spans="1:9" x14ac:dyDescent="0.2">
      <c r="A659" s="1" t="s">
        <v>1664</v>
      </c>
      <c r="B659" s="1" t="s">
        <v>1665</v>
      </c>
      <c r="C659" s="1">
        <v>578808735</v>
      </c>
      <c r="D659" s="14" t="s">
        <v>1666</v>
      </c>
      <c r="E659" s="10">
        <v>81000139860</v>
      </c>
      <c r="F659" s="2">
        <f>IFERROR(VLOOKUP(B659,M10B!B:W,22,FALSE),0)</f>
        <v>0</v>
      </c>
      <c r="G659" s="1">
        <f t="shared" ref="G659:G664" si="30">CEILING(F659,576)</f>
        <v>0</v>
      </c>
      <c r="I659" s="17"/>
    </row>
    <row r="660" spans="1:9" x14ac:dyDescent="0.2">
      <c r="A660" s="1" t="s">
        <v>1664</v>
      </c>
      <c r="B660" s="1" t="s">
        <v>1667</v>
      </c>
      <c r="C660" s="1">
        <v>578808786</v>
      </c>
      <c r="D660" s="14" t="s">
        <v>1668</v>
      </c>
      <c r="E660" s="10">
        <v>81000139861</v>
      </c>
      <c r="F660" s="2">
        <f>IFERROR(VLOOKUP(B660,M10B!B:W,22,FALSE),0)</f>
        <v>0</v>
      </c>
      <c r="G660" s="1">
        <f t="shared" si="30"/>
        <v>0</v>
      </c>
      <c r="I660" s="17"/>
    </row>
    <row r="661" spans="1:9" x14ac:dyDescent="0.2">
      <c r="A661" s="1" t="s">
        <v>1664</v>
      </c>
      <c r="B661" s="1" t="s">
        <v>1669</v>
      </c>
      <c r="C661" s="1">
        <v>578808788</v>
      </c>
      <c r="D661" s="14" t="s">
        <v>1670</v>
      </c>
      <c r="E661" s="10">
        <v>81000139859</v>
      </c>
      <c r="F661" s="2">
        <f>IFERROR(VLOOKUP(B661,M10B!B:W,22,FALSE),0)</f>
        <v>0</v>
      </c>
      <c r="G661" s="1">
        <f t="shared" si="30"/>
        <v>0</v>
      </c>
      <c r="I661" s="17"/>
    </row>
    <row r="662" spans="1:9" x14ac:dyDescent="0.2">
      <c r="A662" s="1" t="s">
        <v>1664</v>
      </c>
      <c r="B662" s="1" t="s">
        <v>1671</v>
      </c>
      <c r="C662" s="1">
        <v>578808778</v>
      </c>
      <c r="D662" s="14" t="s">
        <v>1672</v>
      </c>
      <c r="E662" s="10">
        <v>81000139863</v>
      </c>
      <c r="F662" s="2">
        <f>IFERROR(VLOOKUP(B662,M10B!B:W,22,FALSE),0)</f>
        <v>0</v>
      </c>
      <c r="G662" s="1">
        <f t="shared" si="30"/>
        <v>0</v>
      </c>
      <c r="I662" s="17"/>
    </row>
    <row r="663" spans="1:9" x14ac:dyDescent="0.2">
      <c r="A663" s="1" t="s">
        <v>1664</v>
      </c>
      <c r="B663" s="1" t="s">
        <v>1673</v>
      </c>
      <c r="C663" s="1">
        <v>578808787</v>
      </c>
      <c r="D663" s="14" t="s">
        <v>1674</v>
      </c>
      <c r="E663" s="10">
        <v>81000139864</v>
      </c>
      <c r="F663" s="2">
        <f>IFERROR(VLOOKUP(B663,M10B!B:W,22,FALSE),0)</f>
        <v>0</v>
      </c>
      <c r="G663" s="1">
        <f t="shared" si="30"/>
        <v>0</v>
      </c>
      <c r="I663" s="17"/>
    </row>
    <row r="664" spans="1:9" x14ac:dyDescent="0.2">
      <c r="A664" s="1" t="s">
        <v>1664</v>
      </c>
      <c r="B664" s="1" t="s">
        <v>1675</v>
      </c>
      <c r="C664" s="1">
        <v>578808798</v>
      </c>
      <c r="D664" s="14" t="s">
        <v>1676</v>
      </c>
      <c r="E664" s="10">
        <v>81000139862</v>
      </c>
      <c r="F664" s="2">
        <f>IFERROR(VLOOKUP(B664,M10B!B:W,22,FALSE),0)</f>
        <v>0</v>
      </c>
      <c r="G664" s="1">
        <f t="shared" si="30"/>
        <v>0</v>
      </c>
      <c r="I664" s="17"/>
    </row>
    <row r="665" spans="1:9" x14ac:dyDescent="0.2">
      <c r="A665" s="1" t="s">
        <v>1218</v>
      </c>
      <c r="B665" s="1" t="s">
        <v>1219</v>
      </c>
      <c r="C665" s="1">
        <v>579058032</v>
      </c>
      <c r="D665" s="14" t="s">
        <v>1220</v>
      </c>
      <c r="E665" s="10">
        <v>81000139605</v>
      </c>
      <c r="F665" s="2">
        <f>IFERROR(VLOOKUP(B665,M10B!B:W,22,FALSE),0)</f>
        <v>0</v>
      </c>
      <c r="G665" s="1">
        <f t="shared" ref="G665:G674" si="31">CEILING(F665,80)</f>
        <v>0</v>
      </c>
      <c r="I665" s="17"/>
    </row>
    <row r="666" spans="1:9" x14ac:dyDescent="0.2">
      <c r="A666" s="1" t="s">
        <v>1218</v>
      </c>
      <c r="B666" s="1" t="s">
        <v>1221</v>
      </c>
      <c r="C666" s="1">
        <v>579057993</v>
      </c>
      <c r="D666" s="14" t="s">
        <v>1222</v>
      </c>
      <c r="E666" s="10">
        <v>81000139603</v>
      </c>
      <c r="F666" s="2">
        <f>IFERROR(VLOOKUP(B666,M10B!B:W,22,FALSE),0)</f>
        <v>0</v>
      </c>
      <c r="G666" s="1">
        <f t="shared" si="31"/>
        <v>0</v>
      </c>
      <c r="I666" s="17"/>
    </row>
    <row r="667" spans="1:9" x14ac:dyDescent="0.2">
      <c r="A667" s="1" t="s">
        <v>1218</v>
      </c>
      <c r="B667" s="1" t="s">
        <v>1223</v>
      </c>
      <c r="C667" s="1">
        <v>579058001</v>
      </c>
      <c r="D667" s="14" t="s">
        <v>1224</v>
      </c>
      <c r="E667" s="10">
        <v>81000139604</v>
      </c>
      <c r="F667" s="2">
        <f>IFERROR(VLOOKUP(B667,M10B!B:W,22,FALSE),0)</f>
        <v>0</v>
      </c>
      <c r="G667" s="1">
        <f t="shared" si="31"/>
        <v>0</v>
      </c>
      <c r="I667" s="17"/>
    </row>
    <row r="668" spans="1:9" x14ac:dyDescent="0.2">
      <c r="A668" s="1" t="s">
        <v>1218</v>
      </c>
      <c r="B668" s="1" t="s">
        <v>1225</v>
      </c>
      <c r="C668" s="1">
        <v>579058066</v>
      </c>
      <c r="D668" s="14" t="s">
        <v>1226</v>
      </c>
      <c r="E668" s="10">
        <v>81000139602</v>
      </c>
      <c r="F668" s="2">
        <f>IFERROR(VLOOKUP(B668,M10B!B:W,22,FALSE),0)</f>
        <v>0</v>
      </c>
      <c r="G668" s="1">
        <f t="shared" si="31"/>
        <v>0</v>
      </c>
      <c r="I668" s="17"/>
    </row>
    <row r="669" spans="1:9" x14ac:dyDescent="0.2">
      <c r="A669" s="1" t="s">
        <v>1218</v>
      </c>
      <c r="B669" s="1" t="s">
        <v>1227</v>
      </c>
      <c r="C669" s="1">
        <v>579058043</v>
      </c>
      <c r="D669" s="14" t="s">
        <v>1228</v>
      </c>
      <c r="E669" s="10">
        <v>81000139616</v>
      </c>
      <c r="F669" s="2">
        <f>IFERROR(VLOOKUP(B669,M10B!B:W,22,FALSE),0)</f>
        <v>0</v>
      </c>
      <c r="G669" s="1">
        <f t="shared" si="31"/>
        <v>0</v>
      </c>
      <c r="I669" s="17"/>
    </row>
    <row r="670" spans="1:9" x14ac:dyDescent="0.2">
      <c r="A670" s="1" t="s">
        <v>1218</v>
      </c>
      <c r="B670" s="1" t="s">
        <v>1229</v>
      </c>
      <c r="C670" s="1">
        <v>579058059</v>
      </c>
      <c r="D670" s="14" t="s">
        <v>1230</v>
      </c>
      <c r="E670" s="10">
        <v>81000139610</v>
      </c>
      <c r="F670" s="2">
        <f>IFERROR(VLOOKUP(B670,M10B!B:W,22,FALSE),0)</f>
        <v>0</v>
      </c>
      <c r="G670" s="1">
        <f t="shared" si="31"/>
        <v>0</v>
      </c>
      <c r="I670" s="17"/>
    </row>
    <row r="671" spans="1:9" x14ac:dyDescent="0.2">
      <c r="A671" s="1" t="s">
        <v>1218</v>
      </c>
      <c r="B671" s="1" t="s">
        <v>1231</v>
      </c>
      <c r="C671" s="1">
        <v>579058061</v>
      </c>
      <c r="D671" s="14" t="s">
        <v>1232</v>
      </c>
      <c r="E671" s="10">
        <v>81000139607</v>
      </c>
      <c r="F671" s="2">
        <f>IFERROR(VLOOKUP(B671,M10B!B:W,22,FALSE),0)</f>
        <v>0</v>
      </c>
      <c r="G671" s="1">
        <f t="shared" si="31"/>
        <v>0</v>
      </c>
      <c r="I671" s="17"/>
    </row>
    <row r="672" spans="1:9" x14ac:dyDescent="0.2">
      <c r="A672" s="1" t="s">
        <v>1218</v>
      </c>
      <c r="B672" s="1" t="s">
        <v>1233</v>
      </c>
      <c r="C672" s="1">
        <v>579058063</v>
      </c>
      <c r="D672" s="14" t="s">
        <v>1234</v>
      </c>
      <c r="E672" s="10">
        <v>81000139606</v>
      </c>
      <c r="F672" s="2">
        <f>IFERROR(VLOOKUP(B672,M10B!B:W,22,FALSE),0)</f>
        <v>0</v>
      </c>
      <c r="G672" s="1">
        <f t="shared" si="31"/>
        <v>0</v>
      </c>
      <c r="I672" s="17"/>
    </row>
    <row r="673" spans="1:9" x14ac:dyDescent="0.2">
      <c r="A673" s="1" t="s">
        <v>1218</v>
      </c>
      <c r="B673" s="1" t="s">
        <v>1235</v>
      </c>
      <c r="C673" s="1">
        <v>579058078</v>
      </c>
      <c r="D673" s="14" t="s">
        <v>1236</v>
      </c>
      <c r="E673" s="10">
        <v>81000139613</v>
      </c>
      <c r="F673" s="2">
        <f>IFERROR(VLOOKUP(B673,M10B!B:W,22,FALSE),0)</f>
        <v>0</v>
      </c>
      <c r="G673" s="1">
        <f t="shared" si="31"/>
        <v>0</v>
      </c>
      <c r="I673" s="17"/>
    </row>
    <row r="674" spans="1:9" x14ac:dyDescent="0.2">
      <c r="A674" s="1" t="s">
        <v>1218</v>
      </c>
      <c r="B674" s="1" t="s">
        <v>1237</v>
      </c>
      <c r="C674" s="1">
        <v>579058064</v>
      </c>
      <c r="D674" s="14" t="s">
        <v>1238</v>
      </c>
      <c r="E674" s="10">
        <v>81000139612</v>
      </c>
      <c r="F674" s="2">
        <f>IFERROR(VLOOKUP(B674,M10B!B:W,22,FALSE),0)</f>
        <v>0</v>
      </c>
      <c r="G674" s="1">
        <f t="shared" si="31"/>
        <v>0</v>
      </c>
      <c r="I674" s="17"/>
    </row>
    <row r="675" spans="1:9" x14ac:dyDescent="0.2">
      <c r="A675" s="1" t="s">
        <v>1250</v>
      </c>
      <c r="B675" s="1" t="s">
        <v>1251</v>
      </c>
      <c r="C675" s="1">
        <v>579058085</v>
      </c>
      <c r="D675" s="14" t="s">
        <v>1252</v>
      </c>
      <c r="E675" s="10">
        <v>81004033023</v>
      </c>
      <c r="F675" s="2">
        <f>IFERROR(VLOOKUP(B675,M10B!B:W,22,FALSE),0)</f>
        <v>0</v>
      </c>
      <c r="G675" s="1">
        <f t="shared" ref="G675:G704" si="32">CEILING(F675,112)</f>
        <v>0</v>
      </c>
      <c r="I675" s="17"/>
    </row>
    <row r="676" spans="1:9" x14ac:dyDescent="0.2">
      <c r="A676" s="1" t="s">
        <v>1250</v>
      </c>
      <c r="B676" s="1" t="s">
        <v>1253</v>
      </c>
      <c r="C676" s="1">
        <v>579058067</v>
      </c>
      <c r="D676" s="14" t="s">
        <v>1254</v>
      </c>
      <c r="E676" s="10">
        <v>81004033032</v>
      </c>
      <c r="F676" s="2">
        <f>IFERROR(VLOOKUP(B676,M10B!B:W,22,FALSE),0)</f>
        <v>0</v>
      </c>
      <c r="G676" s="1">
        <f t="shared" si="32"/>
        <v>0</v>
      </c>
      <c r="I676" s="17"/>
    </row>
    <row r="677" spans="1:9" x14ac:dyDescent="0.2">
      <c r="A677" s="1" t="s">
        <v>1250</v>
      </c>
      <c r="B677" s="1" t="s">
        <v>1255</v>
      </c>
      <c r="C677" s="1">
        <v>579058089</v>
      </c>
      <c r="D677" s="14" t="s">
        <v>1256</v>
      </c>
      <c r="E677" s="10">
        <v>81004033009</v>
      </c>
      <c r="F677" s="2">
        <f>IFERROR(VLOOKUP(B677,M10B!B:W,22,FALSE),0)</f>
        <v>0</v>
      </c>
      <c r="G677" s="1">
        <f t="shared" si="32"/>
        <v>0</v>
      </c>
      <c r="I677" s="17"/>
    </row>
    <row r="678" spans="1:9" x14ac:dyDescent="0.2">
      <c r="A678" s="1" t="s">
        <v>1250</v>
      </c>
      <c r="B678" s="1" t="s">
        <v>1257</v>
      </c>
      <c r="C678" s="1">
        <v>579058083</v>
      </c>
      <c r="D678" s="14" t="s">
        <v>1258</v>
      </c>
      <c r="E678" s="10">
        <v>81004033010</v>
      </c>
      <c r="F678" s="2">
        <f>IFERROR(VLOOKUP(B678,M10B!B:W,22,FALSE),0)</f>
        <v>0</v>
      </c>
      <c r="G678" s="1">
        <f t="shared" si="32"/>
        <v>0</v>
      </c>
      <c r="I678" s="17"/>
    </row>
    <row r="679" spans="1:9" x14ac:dyDescent="0.2">
      <c r="A679" s="1" t="s">
        <v>1250</v>
      </c>
      <c r="B679" s="1" t="s">
        <v>1259</v>
      </c>
      <c r="C679" s="1">
        <v>579058058</v>
      </c>
      <c r="D679" s="14" t="s">
        <v>1260</v>
      </c>
      <c r="E679" s="10">
        <v>81004033001</v>
      </c>
      <c r="F679" s="2">
        <f>IFERROR(VLOOKUP(B679,M10B!B:W,22,FALSE),0)</f>
        <v>0</v>
      </c>
      <c r="G679" s="1">
        <f t="shared" si="32"/>
        <v>0</v>
      </c>
      <c r="I679" s="17"/>
    </row>
    <row r="680" spans="1:9" x14ac:dyDescent="0.2">
      <c r="A680" s="1" t="s">
        <v>1250</v>
      </c>
      <c r="B680" s="1" t="s">
        <v>1261</v>
      </c>
      <c r="C680" s="1">
        <v>579057995</v>
      </c>
      <c r="D680" s="14" t="s">
        <v>1262</v>
      </c>
      <c r="E680" s="10">
        <v>81004033034</v>
      </c>
      <c r="F680" s="2">
        <f>IFERROR(VLOOKUP(B680,M10B!B:W,22,FALSE),0)</f>
        <v>0</v>
      </c>
      <c r="G680" s="1">
        <f t="shared" si="32"/>
        <v>0</v>
      </c>
      <c r="I680" s="17"/>
    </row>
    <row r="681" spans="1:9" x14ac:dyDescent="0.2">
      <c r="A681" s="1" t="s">
        <v>1250</v>
      </c>
      <c r="B681" s="1" t="s">
        <v>1263</v>
      </c>
      <c r="C681" s="1">
        <v>579058091</v>
      </c>
      <c r="D681" s="14" t="s">
        <v>1264</v>
      </c>
      <c r="E681" s="10">
        <v>81004033033</v>
      </c>
      <c r="F681" s="2">
        <f>IFERROR(VLOOKUP(B681,M10B!B:W,22,FALSE),0)</f>
        <v>0</v>
      </c>
      <c r="G681" s="1">
        <f t="shared" si="32"/>
        <v>0</v>
      </c>
      <c r="I681" s="17"/>
    </row>
    <row r="682" spans="1:9" x14ac:dyDescent="0.2">
      <c r="A682" s="1" t="s">
        <v>1250</v>
      </c>
      <c r="B682" s="1" t="s">
        <v>1265</v>
      </c>
      <c r="C682" s="1">
        <v>579058057</v>
      </c>
      <c r="D682" s="14" t="s">
        <v>1266</v>
      </c>
      <c r="E682" s="10">
        <v>81000139997</v>
      </c>
      <c r="F682" s="2">
        <f>IFERROR(VLOOKUP(B682,M10B!B:W,22,FALSE),0)</f>
        <v>0</v>
      </c>
      <c r="G682" s="1">
        <f t="shared" si="32"/>
        <v>0</v>
      </c>
      <c r="I682" s="17"/>
    </row>
    <row r="683" spans="1:9" x14ac:dyDescent="0.2">
      <c r="A683" s="1" t="s">
        <v>1250</v>
      </c>
      <c r="B683" s="1" t="s">
        <v>1267</v>
      </c>
      <c r="C683" s="1">
        <v>579058117</v>
      </c>
      <c r="D683" s="14" t="s">
        <v>1268</v>
      </c>
      <c r="E683" s="10">
        <v>81004033006</v>
      </c>
      <c r="F683" s="2">
        <f>IFERROR(VLOOKUP(B683,M10B!B:W,22,FALSE),0)</f>
        <v>0</v>
      </c>
      <c r="G683" s="1">
        <f t="shared" si="32"/>
        <v>0</v>
      </c>
      <c r="I683" s="17"/>
    </row>
    <row r="684" spans="1:9" x14ac:dyDescent="0.2">
      <c r="A684" s="1" t="s">
        <v>1250</v>
      </c>
      <c r="B684" s="1" t="s">
        <v>1269</v>
      </c>
      <c r="C684" s="1">
        <v>579058096</v>
      </c>
      <c r="D684" s="14" t="s">
        <v>1270</v>
      </c>
      <c r="E684" s="10">
        <v>81004033024</v>
      </c>
      <c r="F684" s="2">
        <f>IFERROR(VLOOKUP(B684,M10B!B:W,22,FALSE),0)</f>
        <v>0</v>
      </c>
      <c r="G684" s="1">
        <f t="shared" si="32"/>
        <v>0</v>
      </c>
      <c r="I684" s="17"/>
    </row>
    <row r="685" spans="1:9" x14ac:dyDescent="0.2">
      <c r="A685" s="1" t="s">
        <v>1250</v>
      </c>
      <c r="B685" s="1" t="s">
        <v>1271</v>
      </c>
      <c r="C685" s="1">
        <v>579058107</v>
      </c>
      <c r="D685" s="14" t="s">
        <v>1272</v>
      </c>
      <c r="E685" s="10">
        <v>81004033031</v>
      </c>
      <c r="F685" s="2">
        <f>IFERROR(VLOOKUP(B685,M10B!B:W,22,FALSE),0)</f>
        <v>0</v>
      </c>
      <c r="G685" s="1">
        <f t="shared" si="32"/>
        <v>0</v>
      </c>
      <c r="I685" s="17"/>
    </row>
    <row r="686" spans="1:9" x14ac:dyDescent="0.2">
      <c r="A686" s="1" t="s">
        <v>1250</v>
      </c>
      <c r="B686" s="1" t="s">
        <v>1273</v>
      </c>
      <c r="C686" s="1">
        <v>579058087</v>
      </c>
      <c r="D686" s="14" t="s">
        <v>1274</v>
      </c>
      <c r="E686" s="10">
        <v>81000139996</v>
      </c>
      <c r="F686" s="2">
        <f>IFERROR(VLOOKUP(B686,M10B!B:W,22,FALSE),0)</f>
        <v>0</v>
      </c>
      <c r="G686" s="1">
        <f t="shared" si="32"/>
        <v>0</v>
      </c>
      <c r="I686" s="17"/>
    </row>
    <row r="687" spans="1:9" x14ac:dyDescent="0.2">
      <c r="A687" s="1" t="s">
        <v>1250</v>
      </c>
      <c r="B687" s="1" t="s">
        <v>1275</v>
      </c>
      <c r="C687" s="1">
        <v>579058130</v>
      </c>
      <c r="D687" s="14" t="s">
        <v>1276</v>
      </c>
      <c r="E687" s="10">
        <v>81004033029</v>
      </c>
      <c r="F687" s="2">
        <f>IFERROR(VLOOKUP(B687,M10B!B:W,22,FALSE),0)</f>
        <v>0</v>
      </c>
      <c r="G687" s="1">
        <f t="shared" si="32"/>
        <v>0</v>
      </c>
      <c r="I687" s="17"/>
    </row>
    <row r="688" spans="1:9" x14ac:dyDescent="0.2">
      <c r="A688" s="1" t="s">
        <v>1250</v>
      </c>
      <c r="B688" s="1" t="s">
        <v>1280</v>
      </c>
      <c r="C688" s="1">
        <v>579058123</v>
      </c>
      <c r="D688" s="14" t="s">
        <v>1281</v>
      </c>
      <c r="E688" s="10">
        <v>81000139993</v>
      </c>
      <c r="F688" s="2">
        <f>IFERROR(VLOOKUP(B688,M10B!B:W,22,FALSE),0)</f>
        <v>0</v>
      </c>
      <c r="G688" s="1">
        <f t="shared" si="32"/>
        <v>0</v>
      </c>
      <c r="I688" s="17"/>
    </row>
    <row r="689" spans="1:9" x14ac:dyDescent="0.2">
      <c r="A689" s="1" t="s">
        <v>1250</v>
      </c>
      <c r="B689" s="1" t="s">
        <v>1282</v>
      </c>
      <c r="C689" s="1">
        <v>579058132</v>
      </c>
      <c r="D689" s="14" t="s">
        <v>1283</v>
      </c>
      <c r="E689" s="10">
        <v>81004033005</v>
      </c>
      <c r="F689" s="2">
        <f>IFERROR(VLOOKUP(B689,M10B!B:W,22,FALSE),0)</f>
        <v>0</v>
      </c>
      <c r="G689" s="1">
        <f t="shared" si="32"/>
        <v>0</v>
      </c>
      <c r="I689" s="17"/>
    </row>
    <row r="690" spans="1:9" x14ac:dyDescent="0.2">
      <c r="A690" s="1" t="s">
        <v>1250</v>
      </c>
      <c r="B690" s="1" t="s">
        <v>1284</v>
      </c>
      <c r="C690" s="1">
        <v>579058072</v>
      </c>
      <c r="D690" s="14" t="s">
        <v>1285</v>
      </c>
      <c r="E690" s="10">
        <v>81004033000</v>
      </c>
      <c r="F690" s="2">
        <f>IFERROR(VLOOKUP(B690,M10B!B:W,22,FALSE),0)</f>
        <v>0</v>
      </c>
      <c r="G690" s="1">
        <f t="shared" si="32"/>
        <v>0</v>
      </c>
      <c r="I690" s="17"/>
    </row>
    <row r="691" spans="1:9" x14ac:dyDescent="0.2">
      <c r="A691" s="1" t="s">
        <v>1250</v>
      </c>
      <c r="B691" s="1" t="s">
        <v>1286</v>
      </c>
      <c r="C691" s="1">
        <v>579058124</v>
      </c>
      <c r="D691" s="14" t="s">
        <v>1287</v>
      </c>
      <c r="E691" s="10">
        <v>81000139995</v>
      </c>
      <c r="F691" s="2">
        <f>IFERROR(VLOOKUP(B691,M10B!B:W,22,FALSE),0)</f>
        <v>0</v>
      </c>
      <c r="G691" s="1">
        <f t="shared" si="32"/>
        <v>0</v>
      </c>
      <c r="I691" s="17"/>
    </row>
    <row r="692" spans="1:9" x14ac:dyDescent="0.2">
      <c r="A692" s="1" t="s">
        <v>1250</v>
      </c>
      <c r="B692" s="1" t="s">
        <v>1288</v>
      </c>
      <c r="C692" s="1">
        <v>579058125</v>
      </c>
      <c r="D692" s="14" t="s">
        <v>1289</v>
      </c>
      <c r="E692" s="10">
        <v>81004033002</v>
      </c>
      <c r="F692" s="2">
        <f>IFERROR(VLOOKUP(B692,M10B!B:W,22,FALSE),0)</f>
        <v>0</v>
      </c>
      <c r="G692" s="1">
        <f t="shared" si="32"/>
        <v>0</v>
      </c>
      <c r="I692" s="17"/>
    </row>
    <row r="693" spans="1:9" x14ac:dyDescent="0.2">
      <c r="A693" s="1" t="s">
        <v>1250</v>
      </c>
      <c r="B693" s="1" t="s">
        <v>1290</v>
      </c>
      <c r="C693" s="1">
        <v>579058146</v>
      </c>
      <c r="D693" s="14" t="s">
        <v>1291</v>
      </c>
      <c r="E693" s="10">
        <v>81004033003</v>
      </c>
      <c r="F693" s="2">
        <f>IFERROR(VLOOKUP(B693,M10B!B:W,22,FALSE),0)</f>
        <v>0</v>
      </c>
      <c r="G693" s="1">
        <f t="shared" si="32"/>
        <v>0</v>
      </c>
      <c r="I693" s="17"/>
    </row>
    <row r="694" spans="1:9" x14ac:dyDescent="0.2">
      <c r="A694" s="1" t="s">
        <v>1250</v>
      </c>
      <c r="B694" s="1" t="s">
        <v>1292</v>
      </c>
      <c r="C694" s="1">
        <v>579058127</v>
      </c>
      <c r="D694" s="14" t="s">
        <v>1293</v>
      </c>
      <c r="E694" s="10">
        <v>81004033022</v>
      </c>
      <c r="F694" s="2">
        <f>IFERROR(VLOOKUP(B694,M10B!B:W,22,FALSE),0)</f>
        <v>0</v>
      </c>
      <c r="G694" s="1">
        <f t="shared" si="32"/>
        <v>0</v>
      </c>
      <c r="I694" s="17"/>
    </row>
    <row r="695" spans="1:9" x14ac:dyDescent="0.2">
      <c r="A695" s="1" t="s">
        <v>1250</v>
      </c>
      <c r="B695" s="1" t="s">
        <v>1294</v>
      </c>
      <c r="C695" s="1">
        <v>579058126</v>
      </c>
      <c r="D695" s="14" t="s">
        <v>1295</v>
      </c>
      <c r="E695" s="10">
        <v>81004033020</v>
      </c>
      <c r="F695" s="2">
        <f>IFERROR(VLOOKUP(B695,M10B!B:W,22,FALSE),0)</f>
        <v>0</v>
      </c>
      <c r="G695" s="1">
        <f t="shared" si="32"/>
        <v>0</v>
      </c>
      <c r="I695" s="17"/>
    </row>
    <row r="696" spans="1:9" x14ac:dyDescent="0.2">
      <c r="A696" s="1" t="s">
        <v>1250</v>
      </c>
      <c r="B696" s="1" t="s">
        <v>1296</v>
      </c>
      <c r="C696" s="1">
        <v>579058139</v>
      </c>
      <c r="D696" s="14" t="s">
        <v>1297</v>
      </c>
      <c r="E696" s="10">
        <v>81000139994</v>
      </c>
      <c r="F696" s="2">
        <f>IFERROR(VLOOKUP(B696,M10B!B:W,22,FALSE),0)</f>
        <v>0</v>
      </c>
      <c r="G696" s="1">
        <f t="shared" si="32"/>
        <v>0</v>
      </c>
      <c r="I696" s="17"/>
    </row>
    <row r="697" spans="1:9" x14ac:dyDescent="0.2">
      <c r="A697" s="1" t="s">
        <v>1250</v>
      </c>
      <c r="B697" s="1" t="s">
        <v>1298</v>
      </c>
      <c r="C697" s="1">
        <v>579058131</v>
      </c>
      <c r="D697" s="14" t="s">
        <v>1299</v>
      </c>
      <c r="E697" s="10">
        <v>81004033021</v>
      </c>
      <c r="F697" s="2">
        <f>IFERROR(VLOOKUP(B697,M10B!B:W,22,FALSE),0)</f>
        <v>0</v>
      </c>
      <c r="G697" s="1">
        <f t="shared" si="32"/>
        <v>0</v>
      </c>
      <c r="I697" s="17"/>
    </row>
    <row r="698" spans="1:9" x14ac:dyDescent="0.2">
      <c r="A698" s="1" t="s">
        <v>1250</v>
      </c>
      <c r="B698" s="1" t="s">
        <v>1300</v>
      </c>
      <c r="C698" s="1">
        <v>579058138</v>
      </c>
      <c r="D698" s="14" t="s">
        <v>1301</v>
      </c>
      <c r="E698" s="10">
        <v>81004033030</v>
      </c>
      <c r="F698" s="2">
        <f>IFERROR(VLOOKUP(B698,M10B!B:W,22,FALSE),0)</f>
        <v>0</v>
      </c>
      <c r="G698" s="1">
        <f t="shared" si="32"/>
        <v>0</v>
      </c>
      <c r="I698" s="17"/>
    </row>
    <row r="699" spans="1:9" x14ac:dyDescent="0.2">
      <c r="A699" s="1" t="s">
        <v>1250</v>
      </c>
      <c r="B699" s="1" t="s">
        <v>1302</v>
      </c>
      <c r="C699" s="1">
        <v>579058145</v>
      </c>
      <c r="D699" s="14" t="s">
        <v>1303</v>
      </c>
      <c r="E699" s="10">
        <v>81004033008</v>
      </c>
      <c r="F699" s="2">
        <f>IFERROR(VLOOKUP(B699,M10B!B:W,22,FALSE),0)</f>
        <v>0</v>
      </c>
      <c r="G699" s="1">
        <f t="shared" si="32"/>
        <v>0</v>
      </c>
      <c r="I699" s="17"/>
    </row>
    <row r="700" spans="1:9" x14ac:dyDescent="0.2">
      <c r="A700" s="1" t="s">
        <v>1250</v>
      </c>
      <c r="B700" s="1" t="s">
        <v>1304</v>
      </c>
      <c r="C700" s="1">
        <v>579058141</v>
      </c>
      <c r="D700" s="14" t="s">
        <v>1305</v>
      </c>
      <c r="E700" s="10">
        <v>81000139998</v>
      </c>
      <c r="F700" s="2">
        <f>IFERROR(VLOOKUP(B700,M10B!B:W,22,FALSE),0)</f>
        <v>0</v>
      </c>
      <c r="G700" s="1">
        <f t="shared" si="32"/>
        <v>0</v>
      </c>
      <c r="I700" s="17"/>
    </row>
    <row r="701" spans="1:9" x14ac:dyDescent="0.2">
      <c r="A701" s="1" t="s">
        <v>1250</v>
      </c>
      <c r="B701" s="1" t="s">
        <v>1306</v>
      </c>
      <c r="C701" s="1">
        <v>579058154</v>
      </c>
      <c r="D701" s="14" t="s">
        <v>1307</v>
      </c>
      <c r="E701" s="10">
        <v>81000139999</v>
      </c>
      <c r="F701" s="2">
        <f>IFERROR(VLOOKUP(B701,M10B!B:W,22,FALSE),0)</f>
        <v>0</v>
      </c>
      <c r="G701" s="1">
        <f t="shared" si="32"/>
        <v>0</v>
      </c>
      <c r="I701" s="17"/>
    </row>
    <row r="702" spans="1:9" x14ac:dyDescent="0.2">
      <c r="A702" s="1" t="s">
        <v>1250</v>
      </c>
      <c r="B702" s="1" t="s">
        <v>1308</v>
      </c>
      <c r="C702" s="1">
        <v>579058143</v>
      </c>
      <c r="D702" s="14" t="s">
        <v>1309</v>
      </c>
      <c r="E702" s="10">
        <v>81004033025</v>
      </c>
      <c r="F702" s="2">
        <f>IFERROR(VLOOKUP(B702,M10B!B:W,22,FALSE),0)</f>
        <v>0</v>
      </c>
      <c r="G702" s="1">
        <f t="shared" si="32"/>
        <v>0</v>
      </c>
      <c r="I702" s="17"/>
    </row>
    <row r="703" spans="1:9" x14ac:dyDescent="0.2">
      <c r="A703" s="1" t="s">
        <v>1250</v>
      </c>
      <c r="B703" s="1" t="s">
        <v>1310</v>
      </c>
      <c r="C703" s="1">
        <v>579058153</v>
      </c>
      <c r="D703" s="14" t="s">
        <v>1311</v>
      </c>
      <c r="E703" s="10">
        <v>81004033007</v>
      </c>
      <c r="F703" s="2">
        <f>IFERROR(VLOOKUP(B703,M10B!B:W,22,FALSE),0)</f>
        <v>0</v>
      </c>
      <c r="G703" s="1">
        <f t="shared" si="32"/>
        <v>0</v>
      </c>
      <c r="I703" s="17"/>
    </row>
    <row r="704" spans="1:9" x14ac:dyDescent="0.2">
      <c r="A704" s="1" t="s">
        <v>1250</v>
      </c>
      <c r="B704" s="1" t="s">
        <v>1335</v>
      </c>
      <c r="C704" s="1">
        <v>579058182</v>
      </c>
      <c r="D704" s="14" t="s">
        <v>1336</v>
      </c>
      <c r="E704" s="10">
        <v>81004033004</v>
      </c>
      <c r="F704" s="2">
        <f>IFERROR(VLOOKUP(B704,M10B!B:W,22,FALSE),0)</f>
        <v>0</v>
      </c>
      <c r="G704" s="1">
        <f t="shared" si="32"/>
        <v>0</v>
      </c>
      <c r="I704" s="17"/>
    </row>
    <row r="705" spans="1:9" x14ac:dyDescent="0.2">
      <c r="A705" s="1" t="s">
        <v>1277</v>
      </c>
      <c r="B705" s="1" t="s">
        <v>1278</v>
      </c>
      <c r="C705" s="1">
        <v>579058129</v>
      </c>
      <c r="D705" s="14" t="s">
        <v>1279</v>
      </c>
      <c r="E705" s="10">
        <v>81004033011</v>
      </c>
      <c r="F705" s="2">
        <f>IFERROR(VLOOKUP(B705,M10B!B:W,22,FALSE),0)</f>
        <v>0</v>
      </c>
      <c r="G705" s="1">
        <f t="shared" ref="G705:G713" si="33">CEILING(F705,120)</f>
        <v>0</v>
      </c>
      <c r="I705" s="17"/>
    </row>
    <row r="706" spans="1:9" x14ac:dyDescent="0.2">
      <c r="A706" s="1" t="s">
        <v>1277</v>
      </c>
      <c r="B706" s="1" t="s">
        <v>1312</v>
      </c>
      <c r="C706" s="1">
        <v>579058142</v>
      </c>
      <c r="D706" s="14" t="s">
        <v>1313</v>
      </c>
      <c r="E706" s="10">
        <v>81004033014</v>
      </c>
      <c r="F706" s="2">
        <f>IFERROR(VLOOKUP(B706,M10B!B:W,22,FALSE),0)</f>
        <v>0</v>
      </c>
      <c r="G706" s="1">
        <f t="shared" si="33"/>
        <v>0</v>
      </c>
      <c r="I706" s="17"/>
    </row>
    <row r="707" spans="1:9" x14ac:dyDescent="0.2">
      <c r="A707" s="1" t="s">
        <v>1277</v>
      </c>
      <c r="B707" s="1" t="s">
        <v>1314</v>
      </c>
      <c r="C707" s="1">
        <v>579058152</v>
      </c>
      <c r="D707" s="14" t="s">
        <v>1315</v>
      </c>
      <c r="E707" s="10">
        <v>81004033018</v>
      </c>
      <c r="F707" s="2">
        <f>IFERROR(VLOOKUP(B707,M10B!B:W,22,FALSE),0)</f>
        <v>0</v>
      </c>
      <c r="G707" s="1">
        <f t="shared" si="33"/>
        <v>0</v>
      </c>
      <c r="I707" s="17"/>
    </row>
    <row r="708" spans="1:9" x14ac:dyDescent="0.2">
      <c r="A708" s="1" t="s">
        <v>1277</v>
      </c>
      <c r="B708" s="1" t="s">
        <v>1319</v>
      </c>
      <c r="C708" s="1">
        <v>579058128</v>
      </c>
      <c r="D708" s="14" t="s">
        <v>1320</v>
      </c>
      <c r="E708" s="10">
        <v>81004033015</v>
      </c>
      <c r="F708" s="2">
        <f>IFERROR(VLOOKUP(B708,M10B!B:W,22,FALSE),0)</f>
        <v>0</v>
      </c>
      <c r="G708" s="1">
        <f t="shared" si="33"/>
        <v>0</v>
      </c>
      <c r="I708" s="17"/>
    </row>
    <row r="709" spans="1:9" x14ac:dyDescent="0.2">
      <c r="A709" s="1" t="s">
        <v>1277</v>
      </c>
      <c r="B709" s="1" t="s">
        <v>1321</v>
      </c>
      <c r="C709" s="1">
        <v>579058140</v>
      </c>
      <c r="D709" s="14" t="s">
        <v>1322</v>
      </c>
      <c r="E709" s="10">
        <v>81004033012</v>
      </c>
      <c r="F709" s="2">
        <f>IFERROR(VLOOKUP(B709,M10B!B:W,22,FALSE),0)</f>
        <v>0</v>
      </c>
      <c r="G709" s="1">
        <f t="shared" si="33"/>
        <v>0</v>
      </c>
      <c r="I709" s="17"/>
    </row>
    <row r="710" spans="1:9" x14ac:dyDescent="0.2">
      <c r="A710" s="1" t="s">
        <v>1277</v>
      </c>
      <c r="B710" s="1" t="s">
        <v>1323</v>
      </c>
      <c r="C710" s="1">
        <v>579058149</v>
      </c>
      <c r="D710" s="14" t="s">
        <v>1324</v>
      </c>
      <c r="E710" s="10">
        <v>81004033017</v>
      </c>
      <c r="F710" s="2">
        <f>IFERROR(VLOOKUP(B710,M10B!B:W,22,FALSE),0)</f>
        <v>0</v>
      </c>
      <c r="G710" s="1">
        <f t="shared" si="33"/>
        <v>0</v>
      </c>
      <c r="I710" s="17"/>
    </row>
    <row r="711" spans="1:9" x14ac:dyDescent="0.2">
      <c r="A711" s="1" t="s">
        <v>1277</v>
      </c>
      <c r="B711" s="1" t="s">
        <v>1327</v>
      </c>
      <c r="C711" s="1">
        <v>579058134</v>
      </c>
      <c r="D711" s="14" t="s">
        <v>1328</v>
      </c>
      <c r="E711" s="10">
        <v>81004033019</v>
      </c>
      <c r="F711" s="2">
        <f>IFERROR(VLOOKUP(B711,M10B!B:W,22,FALSE),0)</f>
        <v>0</v>
      </c>
      <c r="G711" s="1">
        <f t="shared" si="33"/>
        <v>0</v>
      </c>
      <c r="I711" s="17"/>
    </row>
    <row r="712" spans="1:9" x14ac:dyDescent="0.2">
      <c r="A712" s="1" t="s">
        <v>1277</v>
      </c>
      <c r="B712" s="1" t="s">
        <v>1331</v>
      </c>
      <c r="C712" s="1">
        <v>579058180</v>
      </c>
      <c r="D712" s="14" t="s">
        <v>1332</v>
      </c>
      <c r="E712" s="10">
        <v>81004033013</v>
      </c>
      <c r="F712" s="2">
        <f>IFERROR(VLOOKUP(B712,M10B!B:W,22,FALSE),0)</f>
        <v>0</v>
      </c>
      <c r="G712" s="1">
        <f t="shared" si="33"/>
        <v>0</v>
      </c>
      <c r="I712" s="17"/>
    </row>
    <row r="713" spans="1:9" x14ac:dyDescent="0.2">
      <c r="A713" s="1" t="s">
        <v>1277</v>
      </c>
      <c r="B713" s="1" t="s">
        <v>1333</v>
      </c>
      <c r="C713" s="1">
        <v>579058074</v>
      </c>
      <c r="D713" s="14" t="s">
        <v>1334</v>
      </c>
      <c r="E713" s="10">
        <v>81004033016</v>
      </c>
      <c r="F713" s="2">
        <f>IFERROR(VLOOKUP(B713,M10B!B:W,22,FALSE),0)</f>
        <v>0</v>
      </c>
      <c r="G713" s="1">
        <f t="shared" si="33"/>
        <v>0</v>
      </c>
      <c r="I713" s="17"/>
    </row>
    <row r="714" spans="1:9" x14ac:dyDescent="0.2">
      <c r="A714" s="1" t="s">
        <v>1316</v>
      </c>
      <c r="B714" s="1" t="s">
        <v>1317</v>
      </c>
      <c r="C714" s="1">
        <v>579058070</v>
      </c>
      <c r="D714" s="14" t="s">
        <v>1318</v>
      </c>
      <c r="E714" s="10">
        <v>81004033027</v>
      </c>
      <c r="F714" s="2">
        <f>IFERROR(VLOOKUP(B714,M10B!B:W,22,FALSE),0)</f>
        <v>0</v>
      </c>
      <c r="G714" s="1">
        <f>CEILING(F714,60)</f>
        <v>0</v>
      </c>
      <c r="I714" s="17"/>
    </row>
    <row r="715" spans="1:9" x14ac:dyDescent="0.2">
      <c r="A715" s="1" t="s">
        <v>1316</v>
      </c>
      <c r="B715" s="1" t="s">
        <v>1325</v>
      </c>
      <c r="C715" s="1">
        <v>579058133</v>
      </c>
      <c r="D715" s="14" t="s">
        <v>1326</v>
      </c>
      <c r="E715" s="10">
        <v>81004033026</v>
      </c>
      <c r="F715" s="2">
        <f>IFERROR(VLOOKUP(B715,M10B!B:W,22,FALSE),0)</f>
        <v>0</v>
      </c>
      <c r="G715" s="1">
        <f>CEILING(F715,60)</f>
        <v>0</v>
      </c>
      <c r="I715" s="17"/>
    </row>
    <row r="716" spans="1:9" x14ac:dyDescent="0.2">
      <c r="A716" s="1" t="s">
        <v>1316</v>
      </c>
      <c r="B716" s="1" t="s">
        <v>1329</v>
      </c>
      <c r="C716" s="1">
        <v>579058185</v>
      </c>
      <c r="D716" s="14" t="s">
        <v>1330</v>
      </c>
      <c r="E716" s="10">
        <v>81004033028</v>
      </c>
      <c r="F716" s="2">
        <f>IFERROR(VLOOKUP(B716,M10B!B:W,22,FALSE),0)</f>
        <v>0</v>
      </c>
      <c r="G716" s="1">
        <f>CEILING(F716,60)</f>
        <v>0</v>
      </c>
      <c r="I716" s="17"/>
    </row>
    <row r="717" spans="1:9" x14ac:dyDescent="0.2">
      <c r="A717" s="1" t="s">
        <v>1239</v>
      </c>
      <c r="B717" s="1" t="s">
        <v>1240</v>
      </c>
      <c r="C717" s="1">
        <v>579058056</v>
      </c>
      <c r="D717" s="14" t="s">
        <v>1241</v>
      </c>
      <c r="E717" s="10">
        <v>81004033046</v>
      </c>
      <c r="F717" s="2">
        <f>IFERROR(VLOOKUP(B717,M10B!B:W,22,FALSE),0)</f>
        <v>0</v>
      </c>
      <c r="G717" s="1">
        <f t="shared" ref="G717:G748" si="34">CEILING(F717,80)</f>
        <v>0</v>
      </c>
      <c r="I717" s="17"/>
    </row>
    <row r="718" spans="1:9" x14ac:dyDescent="0.2">
      <c r="A718" s="1" t="s">
        <v>1239</v>
      </c>
      <c r="B718" s="1" t="s">
        <v>1242</v>
      </c>
      <c r="C718" s="1">
        <v>579057994</v>
      </c>
      <c r="D718" s="14" t="s">
        <v>1243</v>
      </c>
      <c r="E718" s="10">
        <v>81004033054</v>
      </c>
      <c r="F718" s="2">
        <f>IFERROR(VLOOKUP(B718,M10B!B:W,22,FALSE),0)</f>
        <v>0</v>
      </c>
      <c r="G718" s="1">
        <f t="shared" si="34"/>
        <v>0</v>
      </c>
      <c r="I718" s="17"/>
    </row>
    <row r="719" spans="1:9" x14ac:dyDescent="0.2">
      <c r="A719" s="1" t="s">
        <v>1239</v>
      </c>
      <c r="B719" s="1" t="s">
        <v>1244</v>
      </c>
      <c r="C719" s="1">
        <v>579058060</v>
      </c>
      <c r="D719" s="14" t="s">
        <v>1245</v>
      </c>
      <c r="E719" s="10">
        <v>81004033057</v>
      </c>
      <c r="F719" s="2">
        <f>IFERROR(VLOOKUP(B719,M10B!B:W,22,FALSE),0)</f>
        <v>0</v>
      </c>
      <c r="G719" s="1">
        <f t="shared" si="34"/>
        <v>0</v>
      </c>
      <c r="I719" s="17"/>
    </row>
    <row r="720" spans="1:9" x14ac:dyDescent="0.2">
      <c r="A720" s="1" t="s">
        <v>1239</v>
      </c>
      <c r="B720" s="1" t="s">
        <v>1246</v>
      </c>
      <c r="C720" s="1">
        <v>579058080</v>
      </c>
      <c r="D720" s="14" t="s">
        <v>1247</v>
      </c>
      <c r="E720" s="10">
        <v>81004033055</v>
      </c>
      <c r="F720" s="2">
        <f>IFERROR(VLOOKUP(B720,M10B!B:W,22,FALSE),0)</f>
        <v>0</v>
      </c>
      <c r="G720" s="1">
        <f t="shared" si="34"/>
        <v>0</v>
      </c>
      <c r="I720" s="17"/>
    </row>
    <row r="721" spans="1:9" x14ac:dyDescent="0.2">
      <c r="A721" s="1" t="s">
        <v>1239</v>
      </c>
      <c r="B721" s="1" t="s">
        <v>1248</v>
      </c>
      <c r="C721" s="1">
        <v>579058062</v>
      </c>
      <c r="D721" s="14" t="s">
        <v>1249</v>
      </c>
      <c r="E721" s="10">
        <v>81004033049</v>
      </c>
      <c r="F721" s="2">
        <f>IFERROR(VLOOKUP(B721,M10B!B:W,22,FALSE),0)</f>
        <v>0</v>
      </c>
      <c r="G721" s="1">
        <f t="shared" si="34"/>
        <v>0</v>
      </c>
      <c r="I721" s="17"/>
    </row>
    <row r="722" spans="1:9" x14ac:dyDescent="0.2">
      <c r="A722" s="1" t="s">
        <v>1239</v>
      </c>
      <c r="B722" s="1" t="s">
        <v>1337</v>
      </c>
      <c r="C722" s="1">
        <v>579058119</v>
      </c>
      <c r="D722" s="14" t="s">
        <v>1338</v>
      </c>
      <c r="E722" s="10">
        <v>81004033037</v>
      </c>
      <c r="F722" s="2">
        <f>IFERROR(VLOOKUP(B722,M10B!B:W,22,FALSE),0)</f>
        <v>0</v>
      </c>
      <c r="G722" s="1">
        <f t="shared" si="34"/>
        <v>0</v>
      </c>
      <c r="I722" s="17"/>
    </row>
    <row r="723" spans="1:9" x14ac:dyDescent="0.2">
      <c r="A723" s="1" t="s">
        <v>1239</v>
      </c>
      <c r="B723" s="1" t="s">
        <v>1339</v>
      </c>
      <c r="C723" s="1">
        <v>579058003</v>
      </c>
      <c r="D723" s="14" t="s">
        <v>1340</v>
      </c>
      <c r="E723" s="10">
        <v>81004033036</v>
      </c>
      <c r="F723" s="2">
        <f>IFERROR(VLOOKUP(B723,M10B!B:W,22,FALSE),0)</f>
        <v>0</v>
      </c>
      <c r="G723" s="1">
        <f t="shared" si="34"/>
        <v>0</v>
      </c>
      <c r="I723" s="17"/>
    </row>
    <row r="724" spans="1:9" x14ac:dyDescent="0.2">
      <c r="A724" s="1" t="s">
        <v>1239</v>
      </c>
      <c r="B724" s="1" t="s">
        <v>1341</v>
      </c>
      <c r="C724" s="1">
        <v>579058105</v>
      </c>
      <c r="D724" s="14" t="s">
        <v>1342</v>
      </c>
      <c r="E724" s="10">
        <v>81004033038</v>
      </c>
      <c r="F724" s="2">
        <f>IFERROR(VLOOKUP(B724,M10B!B:W,22,FALSE),0)</f>
        <v>0</v>
      </c>
      <c r="G724" s="1">
        <f t="shared" si="34"/>
        <v>0</v>
      </c>
      <c r="I724" s="17"/>
    </row>
    <row r="725" spans="1:9" x14ac:dyDescent="0.2">
      <c r="A725" s="1" t="s">
        <v>1239</v>
      </c>
      <c r="B725" s="1" t="s">
        <v>1343</v>
      </c>
      <c r="C725" s="1">
        <v>579058048</v>
      </c>
      <c r="D725" s="14" t="s">
        <v>1344</v>
      </c>
      <c r="E725" s="10">
        <v>81004033040</v>
      </c>
      <c r="F725" s="2">
        <f>IFERROR(VLOOKUP(B725,M10B!B:W,22,FALSE),0)</f>
        <v>0</v>
      </c>
      <c r="G725" s="1">
        <f t="shared" si="34"/>
        <v>0</v>
      </c>
      <c r="I725" s="17"/>
    </row>
    <row r="726" spans="1:9" x14ac:dyDescent="0.2">
      <c r="A726" s="1" t="s">
        <v>1239</v>
      </c>
      <c r="B726" s="1" t="s">
        <v>1345</v>
      </c>
      <c r="C726" s="1">
        <v>579058050</v>
      </c>
      <c r="D726" s="14" t="s">
        <v>1346</v>
      </c>
      <c r="E726" s="10">
        <v>81004033051</v>
      </c>
      <c r="F726" s="2">
        <f>IFERROR(VLOOKUP(B726,M10B!B:W,22,FALSE),0)</f>
        <v>0</v>
      </c>
      <c r="G726" s="1">
        <f t="shared" si="34"/>
        <v>0</v>
      </c>
      <c r="I726" s="17"/>
    </row>
    <row r="727" spans="1:9" x14ac:dyDescent="0.2">
      <c r="A727" s="1" t="s">
        <v>1239</v>
      </c>
      <c r="B727" s="1" t="s">
        <v>1347</v>
      </c>
      <c r="C727" s="1">
        <v>579058101</v>
      </c>
      <c r="D727" s="14" t="s">
        <v>1348</v>
      </c>
      <c r="E727" s="10">
        <v>81004033053</v>
      </c>
      <c r="F727" s="2">
        <f>IFERROR(VLOOKUP(B727,M10B!B:W,22,FALSE),0)</f>
        <v>0</v>
      </c>
      <c r="G727" s="1">
        <f t="shared" si="34"/>
        <v>0</v>
      </c>
      <c r="I727" s="17"/>
    </row>
    <row r="728" spans="1:9" x14ac:dyDescent="0.2">
      <c r="A728" s="1" t="s">
        <v>1239</v>
      </c>
      <c r="B728" s="1" t="s">
        <v>1349</v>
      </c>
      <c r="C728" s="1">
        <v>579058093</v>
      </c>
      <c r="D728" s="14" t="s">
        <v>1350</v>
      </c>
      <c r="E728" s="10">
        <v>81004033052</v>
      </c>
      <c r="F728" s="2">
        <f>IFERROR(VLOOKUP(B728,M10B!B:W,22,FALSE),0)</f>
        <v>0</v>
      </c>
      <c r="G728" s="1">
        <f t="shared" si="34"/>
        <v>0</v>
      </c>
      <c r="I728" s="17"/>
    </row>
    <row r="729" spans="1:9" x14ac:dyDescent="0.2">
      <c r="A729" s="1" t="s">
        <v>1351</v>
      </c>
      <c r="B729" s="1" t="s">
        <v>1352</v>
      </c>
      <c r="C729" s="1">
        <v>579057992</v>
      </c>
      <c r="D729" s="14" t="s">
        <v>1353</v>
      </c>
      <c r="E729" s="10">
        <v>81004033045</v>
      </c>
      <c r="F729" s="2">
        <f>IFERROR(VLOOKUP(B729,M10B!B:W,22,FALSE),0)</f>
        <v>0</v>
      </c>
      <c r="G729" s="1">
        <f t="shared" si="34"/>
        <v>0</v>
      </c>
      <c r="I729" s="17"/>
    </row>
    <row r="730" spans="1:9" x14ac:dyDescent="0.2">
      <c r="A730" s="1" t="s">
        <v>1351</v>
      </c>
      <c r="B730" s="1" t="s">
        <v>1354</v>
      </c>
      <c r="C730" s="1">
        <v>579058004</v>
      </c>
      <c r="D730" s="14" t="s">
        <v>1355</v>
      </c>
      <c r="E730" s="10">
        <v>81004033056</v>
      </c>
      <c r="F730" s="2">
        <f>IFERROR(VLOOKUP(B730,M10B!B:W,22,FALSE),0)</f>
        <v>0</v>
      </c>
      <c r="G730" s="1">
        <f t="shared" si="34"/>
        <v>0</v>
      </c>
      <c r="I730" s="17"/>
    </row>
    <row r="731" spans="1:9" x14ac:dyDescent="0.2">
      <c r="A731" s="1" t="s">
        <v>1351</v>
      </c>
      <c r="B731" s="1" t="s">
        <v>1356</v>
      </c>
      <c r="C731" s="1">
        <v>579058051</v>
      </c>
      <c r="D731" s="14" t="s">
        <v>1357</v>
      </c>
      <c r="E731" s="10">
        <v>81004033048</v>
      </c>
      <c r="F731" s="2">
        <f>IFERROR(VLOOKUP(B731,M10B!B:W,22,FALSE),0)</f>
        <v>0</v>
      </c>
      <c r="G731" s="1">
        <f t="shared" si="34"/>
        <v>0</v>
      </c>
      <c r="I731" s="17"/>
    </row>
    <row r="732" spans="1:9" x14ac:dyDescent="0.2">
      <c r="A732" s="1" t="s">
        <v>1351</v>
      </c>
      <c r="B732" s="1" t="s">
        <v>1358</v>
      </c>
      <c r="C732" s="1">
        <v>579058158</v>
      </c>
      <c r="D732" s="14" t="s">
        <v>1359</v>
      </c>
      <c r="E732" s="10">
        <v>81004033058</v>
      </c>
      <c r="F732" s="2">
        <f>IFERROR(VLOOKUP(B732,M10B!B:W,22,FALSE),0)</f>
        <v>0</v>
      </c>
      <c r="G732" s="1">
        <f t="shared" si="34"/>
        <v>0</v>
      </c>
      <c r="I732" s="17"/>
    </row>
    <row r="733" spans="1:9" x14ac:dyDescent="0.2">
      <c r="A733" s="1" t="s">
        <v>1351</v>
      </c>
      <c r="B733" s="1" t="s">
        <v>1360</v>
      </c>
      <c r="C733" s="1">
        <v>579057990</v>
      </c>
      <c r="D733" s="14" t="s">
        <v>1361</v>
      </c>
      <c r="E733" s="10">
        <v>81004033044</v>
      </c>
      <c r="F733" s="2">
        <f>IFERROR(VLOOKUP(B733,M10B!B:W,22,FALSE),0)</f>
        <v>0</v>
      </c>
      <c r="G733" s="1">
        <f t="shared" si="34"/>
        <v>0</v>
      </c>
      <c r="I733" s="17"/>
    </row>
    <row r="734" spans="1:9" x14ac:dyDescent="0.2">
      <c r="A734" s="1" t="s">
        <v>1351</v>
      </c>
      <c r="B734" s="1" t="s">
        <v>1362</v>
      </c>
      <c r="C734" s="1">
        <v>579058010</v>
      </c>
      <c r="D734" s="14" t="s">
        <v>1363</v>
      </c>
      <c r="E734" s="10">
        <v>81004033035</v>
      </c>
      <c r="F734" s="2">
        <f>IFERROR(VLOOKUP(B734,M10B!B:W,22,FALSE),0)</f>
        <v>0</v>
      </c>
      <c r="G734" s="1">
        <f t="shared" si="34"/>
        <v>0</v>
      </c>
      <c r="I734" s="17"/>
    </row>
    <row r="735" spans="1:9" x14ac:dyDescent="0.2">
      <c r="A735" s="1" t="s">
        <v>1351</v>
      </c>
      <c r="B735" s="1" t="s">
        <v>1364</v>
      </c>
      <c r="C735" s="1">
        <v>579058052</v>
      </c>
      <c r="D735" s="14" t="s">
        <v>1365</v>
      </c>
      <c r="E735" s="10">
        <v>81004033039</v>
      </c>
      <c r="F735" s="2">
        <f>IFERROR(VLOOKUP(B735,M10B!B:W,22,FALSE),0)</f>
        <v>0</v>
      </c>
      <c r="G735" s="1">
        <f t="shared" si="34"/>
        <v>0</v>
      </c>
      <c r="I735" s="17"/>
    </row>
    <row r="736" spans="1:9" x14ac:dyDescent="0.2">
      <c r="A736" s="1" t="s">
        <v>1351</v>
      </c>
      <c r="B736" s="1" t="s">
        <v>1366</v>
      </c>
      <c r="C736" s="1">
        <v>579058023</v>
      </c>
      <c r="D736" s="14" t="s">
        <v>1367</v>
      </c>
      <c r="E736" s="10">
        <v>81004033047</v>
      </c>
      <c r="F736" s="2">
        <f>IFERROR(VLOOKUP(B736,M10B!B:W,22,FALSE),0)</f>
        <v>0</v>
      </c>
      <c r="G736" s="1">
        <f t="shared" si="34"/>
        <v>0</v>
      </c>
      <c r="I736" s="17"/>
    </row>
    <row r="737" spans="1:9" x14ac:dyDescent="0.2">
      <c r="A737" s="1" t="s">
        <v>1351</v>
      </c>
      <c r="B737" s="1" t="s">
        <v>1368</v>
      </c>
      <c r="C737" s="1">
        <v>579057991</v>
      </c>
      <c r="D737" s="14" t="s">
        <v>1369</v>
      </c>
      <c r="E737" s="10">
        <v>81004033042</v>
      </c>
      <c r="F737" s="2">
        <f>IFERROR(VLOOKUP(B737,M10B!B:W,22,FALSE),0)</f>
        <v>0</v>
      </c>
      <c r="G737" s="1">
        <f t="shared" si="34"/>
        <v>0</v>
      </c>
      <c r="I737" s="17"/>
    </row>
    <row r="738" spans="1:9" x14ac:dyDescent="0.2">
      <c r="A738" s="1" t="s">
        <v>1351</v>
      </c>
      <c r="B738" s="1" t="s">
        <v>1370</v>
      </c>
      <c r="C738" s="1">
        <v>579058053</v>
      </c>
      <c r="D738" s="14" t="s">
        <v>1371</v>
      </c>
      <c r="E738" s="10">
        <v>81004033041</v>
      </c>
      <c r="F738" s="2">
        <f>IFERROR(VLOOKUP(B738,M10B!B:W,22,FALSE),0)</f>
        <v>0</v>
      </c>
      <c r="G738" s="1">
        <f t="shared" si="34"/>
        <v>0</v>
      </c>
      <c r="I738" s="17"/>
    </row>
    <row r="739" spans="1:9" x14ac:dyDescent="0.2">
      <c r="A739" s="1" t="s">
        <v>1351</v>
      </c>
      <c r="B739" s="1" t="s">
        <v>1372</v>
      </c>
      <c r="C739" s="1">
        <v>579058005</v>
      </c>
      <c r="D739" s="14" t="s">
        <v>1373</v>
      </c>
      <c r="E739" s="10">
        <v>81004033050</v>
      </c>
      <c r="F739" s="2">
        <f>IFERROR(VLOOKUP(B739,M10B!B:W,22,FALSE),0)</f>
        <v>0</v>
      </c>
      <c r="G739" s="1">
        <f t="shared" si="34"/>
        <v>0</v>
      </c>
      <c r="I739" s="17"/>
    </row>
    <row r="740" spans="1:9" x14ac:dyDescent="0.2">
      <c r="A740" s="1" t="s">
        <v>1351</v>
      </c>
      <c r="B740" s="1" t="s">
        <v>1374</v>
      </c>
      <c r="C740" s="1">
        <v>579058046</v>
      </c>
      <c r="D740" s="14" t="s">
        <v>1375</v>
      </c>
      <c r="E740" s="10">
        <v>81004033059</v>
      </c>
      <c r="F740" s="2">
        <f>IFERROR(VLOOKUP(B740,M10B!B:W,22,FALSE),0)</f>
        <v>0</v>
      </c>
      <c r="G740" s="1">
        <f t="shared" si="34"/>
        <v>0</v>
      </c>
      <c r="I740" s="17"/>
    </row>
    <row r="741" spans="1:9" x14ac:dyDescent="0.2">
      <c r="A741" s="1" t="s">
        <v>1351</v>
      </c>
      <c r="B741" s="1" t="s">
        <v>1376</v>
      </c>
      <c r="C741" s="1">
        <v>579058013</v>
      </c>
      <c r="D741" s="14" t="s">
        <v>1377</v>
      </c>
      <c r="E741" s="10">
        <v>81004033043</v>
      </c>
      <c r="F741" s="2">
        <f>IFERROR(VLOOKUP(B741,M10B!B:W,22,FALSE),0)</f>
        <v>0</v>
      </c>
      <c r="G741" s="1">
        <f t="shared" si="34"/>
        <v>0</v>
      </c>
      <c r="I741" s="17"/>
    </row>
    <row r="742" spans="1:9" x14ac:dyDescent="0.2">
      <c r="A742" s="1" t="s">
        <v>1378</v>
      </c>
      <c r="B742" s="1" t="s">
        <v>1379</v>
      </c>
      <c r="C742" s="1">
        <v>579058016</v>
      </c>
      <c r="D742" s="14" t="s">
        <v>1380</v>
      </c>
      <c r="E742" s="10">
        <v>81000139796</v>
      </c>
      <c r="F742" s="2">
        <f>IFERROR(VLOOKUP(B742,M10B!B:W,22,FALSE),0)</f>
        <v>0</v>
      </c>
      <c r="G742" s="1">
        <f t="shared" si="34"/>
        <v>0</v>
      </c>
      <c r="I742" s="17"/>
    </row>
    <row r="743" spans="1:9" x14ac:dyDescent="0.2">
      <c r="A743" s="1" t="s">
        <v>1378</v>
      </c>
      <c r="B743" s="1" t="s">
        <v>1381</v>
      </c>
      <c r="C743" s="1">
        <v>579058022</v>
      </c>
      <c r="D743" s="14" t="s">
        <v>1382</v>
      </c>
      <c r="E743" s="10">
        <v>81000139821</v>
      </c>
      <c r="F743" s="2">
        <f>IFERROR(VLOOKUP(B743,M10B!B:W,22,FALSE),0)</f>
        <v>0</v>
      </c>
      <c r="G743" s="1">
        <f t="shared" si="34"/>
        <v>0</v>
      </c>
      <c r="I743" s="17"/>
    </row>
    <row r="744" spans="1:9" x14ac:dyDescent="0.2">
      <c r="A744" s="1" t="s">
        <v>1378</v>
      </c>
      <c r="B744" s="1" t="s">
        <v>1383</v>
      </c>
      <c r="C744" s="1">
        <v>579058045</v>
      </c>
      <c r="D744" s="14" t="s">
        <v>1384</v>
      </c>
      <c r="E744" s="10">
        <v>81000139820</v>
      </c>
      <c r="F744" s="2">
        <f>IFERROR(VLOOKUP(B744,M10B!B:W,22,FALSE),0)</f>
        <v>0</v>
      </c>
      <c r="G744" s="1">
        <f t="shared" si="34"/>
        <v>0</v>
      </c>
      <c r="I744" s="17"/>
    </row>
    <row r="745" spans="1:9" x14ac:dyDescent="0.2">
      <c r="A745" s="1" t="s">
        <v>1378</v>
      </c>
      <c r="B745" s="1" t="s">
        <v>1385</v>
      </c>
      <c r="C745" s="1">
        <v>579058018</v>
      </c>
      <c r="D745" s="14" t="s">
        <v>1386</v>
      </c>
      <c r="E745" s="10">
        <v>81000139794</v>
      </c>
      <c r="F745" s="2">
        <f>IFERROR(VLOOKUP(B745,M10B!B:W,22,FALSE),0)</f>
        <v>0</v>
      </c>
      <c r="G745" s="1">
        <f t="shared" si="34"/>
        <v>0</v>
      </c>
      <c r="I745" s="17"/>
    </row>
    <row r="746" spans="1:9" x14ac:dyDescent="0.2">
      <c r="A746" s="1" t="s">
        <v>1378</v>
      </c>
      <c r="B746" s="1" t="s">
        <v>1387</v>
      </c>
      <c r="C746" s="1">
        <v>579058009</v>
      </c>
      <c r="D746" s="14" t="s">
        <v>1388</v>
      </c>
      <c r="E746" s="10">
        <v>81000139848</v>
      </c>
      <c r="F746" s="2">
        <f>IFERROR(VLOOKUP(B746,M10B!B:W,22,FALSE),0)</f>
        <v>0</v>
      </c>
      <c r="G746" s="1">
        <f t="shared" si="34"/>
        <v>0</v>
      </c>
      <c r="I746" s="17"/>
    </row>
    <row r="747" spans="1:9" x14ac:dyDescent="0.2">
      <c r="A747" s="1" t="s">
        <v>1378</v>
      </c>
      <c r="B747" s="1" t="s">
        <v>1389</v>
      </c>
      <c r="C747" s="1">
        <v>579058049</v>
      </c>
      <c r="D747" s="14" t="s">
        <v>1390</v>
      </c>
      <c r="E747" s="10">
        <v>81000139838</v>
      </c>
      <c r="F747" s="2">
        <f>IFERROR(VLOOKUP(B747,M10B!B:W,22,FALSE),0)</f>
        <v>0</v>
      </c>
      <c r="G747" s="1">
        <f t="shared" si="34"/>
        <v>0</v>
      </c>
      <c r="I747" s="17"/>
    </row>
    <row r="748" spans="1:9" x14ac:dyDescent="0.2">
      <c r="A748" s="1" t="s">
        <v>1378</v>
      </c>
      <c r="B748" s="1" t="s">
        <v>1391</v>
      </c>
      <c r="C748" s="1">
        <v>579058103</v>
      </c>
      <c r="D748" s="14" t="s">
        <v>1392</v>
      </c>
      <c r="E748" s="10">
        <v>81000139812</v>
      </c>
      <c r="F748" s="2">
        <f>IFERROR(VLOOKUP(B748,M10B!B:W,22,FALSE),0)</f>
        <v>0</v>
      </c>
      <c r="G748" s="1">
        <f t="shared" si="34"/>
        <v>0</v>
      </c>
      <c r="I748" s="17"/>
    </row>
    <row r="749" spans="1:9" x14ac:dyDescent="0.2">
      <c r="A749" s="1" t="s">
        <v>1378</v>
      </c>
      <c r="B749" s="1" t="s">
        <v>1393</v>
      </c>
      <c r="C749" s="1">
        <v>579057998</v>
      </c>
      <c r="D749" s="14" t="s">
        <v>1394</v>
      </c>
      <c r="E749" s="10">
        <v>81000139795</v>
      </c>
      <c r="F749" s="2">
        <f>IFERROR(VLOOKUP(B749,M10B!B:W,22,FALSE),0)</f>
        <v>0</v>
      </c>
      <c r="G749" s="1">
        <f t="shared" ref="G749:G780" si="35">CEILING(F749,80)</f>
        <v>0</v>
      </c>
      <c r="I749" s="17"/>
    </row>
    <row r="750" spans="1:9" x14ac:dyDescent="0.2">
      <c r="A750" s="1" t="s">
        <v>1378</v>
      </c>
      <c r="B750" s="1" t="s">
        <v>1395</v>
      </c>
      <c r="C750" s="1">
        <v>579058006</v>
      </c>
      <c r="D750" s="14" t="s">
        <v>1396</v>
      </c>
      <c r="E750" s="10">
        <v>81000139855</v>
      </c>
      <c r="F750" s="2">
        <f>IFERROR(VLOOKUP(B750,M10B!B:W,22,FALSE),0)</f>
        <v>0</v>
      </c>
      <c r="G750" s="1">
        <f t="shared" si="35"/>
        <v>0</v>
      </c>
      <c r="I750" s="17"/>
    </row>
    <row r="751" spans="1:9" x14ac:dyDescent="0.2">
      <c r="A751" s="1" t="s">
        <v>1378</v>
      </c>
      <c r="B751" s="1" t="s">
        <v>1397</v>
      </c>
      <c r="C751" s="1">
        <v>579058047</v>
      </c>
      <c r="D751" s="14" t="s">
        <v>1398</v>
      </c>
      <c r="E751" s="10">
        <v>81000139839</v>
      </c>
      <c r="F751" s="2">
        <f>IFERROR(VLOOKUP(B751,M10B!B:W,22,FALSE),0)</f>
        <v>0</v>
      </c>
      <c r="G751" s="1">
        <f t="shared" si="35"/>
        <v>0</v>
      </c>
      <c r="I751" s="17"/>
    </row>
    <row r="752" spans="1:9" x14ac:dyDescent="0.2">
      <c r="A752" s="1" t="s">
        <v>1378</v>
      </c>
      <c r="B752" s="1" t="s">
        <v>1399</v>
      </c>
      <c r="C752" s="1">
        <v>579058157</v>
      </c>
      <c r="D752" s="14" t="s">
        <v>1400</v>
      </c>
      <c r="E752" s="10">
        <v>81000139804</v>
      </c>
      <c r="F752" s="2">
        <f>IFERROR(VLOOKUP(B752,M10B!B:W,22,FALSE),0)</f>
        <v>0</v>
      </c>
      <c r="G752" s="1">
        <f t="shared" si="35"/>
        <v>0</v>
      </c>
      <c r="I752" s="17"/>
    </row>
    <row r="753" spans="1:9" x14ac:dyDescent="0.2">
      <c r="A753" s="1" t="s">
        <v>1378</v>
      </c>
      <c r="B753" s="1" t="s">
        <v>1401</v>
      </c>
      <c r="C753" s="1">
        <v>579058113</v>
      </c>
      <c r="D753" s="14" t="s">
        <v>1402</v>
      </c>
      <c r="E753" s="10">
        <v>81000139822</v>
      </c>
      <c r="F753" s="2">
        <f>IFERROR(VLOOKUP(B753,M10B!B:W,22,FALSE),0)</f>
        <v>0</v>
      </c>
      <c r="G753" s="1">
        <f t="shared" si="35"/>
        <v>0</v>
      </c>
      <c r="I753" s="17"/>
    </row>
    <row r="754" spans="1:9" x14ac:dyDescent="0.2">
      <c r="A754" s="1" t="s">
        <v>1378</v>
      </c>
      <c r="B754" s="1" t="s">
        <v>1403</v>
      </c>
      <c r="C754" s="1">
        <v>579058021</v>
      </c>
      <c r="D754" s="14" t="s">
        <v>1404</v>
      </c>
      <c r="E754" s="10">
        <v>81000139832</v>
      </c>
      <c r="F754" s="2">
        <f>IFERROR(VLOOKUP(B754,M10B!B:W,22,FALSE),0)</f>
        <v>0</v>
      </c>
      <c r="G754" s="1">
        <f t="shared" si="35"/>
        <v>0</v>
      </c>
      <c r="I754" s="17"/>
    </row>
    <row r="755" spans="1:9" x14ac:dyDescent="0.2">
      <c r="A755" s="1" t="s">
        <v>1378</v>
      </c>
      <c r="B755" s="1" t="s">
        <v>1405</v>
      </c>
      <c r="C755" s="1">
        <v>579058014</v>
      </c>
      <c r="D755" s="14" t="s">
        <v>1406</v>
      </c>
      <c r="E755" s="10">
        <v>81000139846</v>
      </c>
      <c r="F755" s="2">
        <f>IFERROR(VLOOKUP(B755,M10B!B:W,22,FALSE),0)</f>
        <v>0</v>
      </c>
      <c r="G755" s="1">
        <f t="shared" si="35"/>
        <v>0</v>
      </c>
      <c r="I755" s="17"/>
    </row>
    <row r="756" spans="1:9" x14ac:dyDescent="0.2">
      <c r="A756" s="1" t="s">
        <v>1378</v>
      </c>
      <c r="B756" s="1" t="s">
        <v>1407</v>
      </c>
      <c r="C756" s="1">
        <v>579058115</v>
      </c>
      <c r="D756" s="14" t="s">
        <v>1408</v>
      </c>
      <c r="E756" s="10">
        <v>81000139837</v>
      </c>
      <c r="F756" s="2">
        <f>IFERROR(VLOOKUP(B756,M10B!B:W,22,FALSE),0)</f>
        <v>0</v>
      </c>
      <c r="G756" s="1">
        <f t="shared" si="35"/>
        <v>0</v>
      </c>
      <c r="I756" s="17"/>
    </row>
    <row r="757" spans="1:9" x14ac:dyDescent="0.2">
      <c r="A757" s="1" t="s">
        <v>1378</v>
      </c>
      <c r="B757" s="1" t="s">
        <v>1409</v>
      </c>
      <c r="C757" s="1">
        <v>579058020</v>
      </c>
      <c r="D757" s="14" t="s">
        <v>1410</v>
      </c>
      <c r="E757" s="10">
        <v>81000139850</v>
      </c>
      <c r="F757" s="2">
        <f>IFERROR(VLOOKUP(B757,M10B!B:W,22,FALSE),0)</f>
        <v>0</v>
      </c>
      <c r="G757" s="1">
        <f t="shared" si="35"/>
        <v>0</v>
      </c>
      <c r="I757" s="17"/>
    </row>
    <row r="758" spans="1:9" x14ac:dyDescent="0.2">
      <c r="A758" s="1" t="s">
        <v>1378</v>
      </c>
      <c r="B758" s="1" t="s">
        <v>1411</v>
      </c>
      <c r="C758" s="1">
        <v>579058068</v>
      </c>
      <c r="D758" s="14" t="s">
        <v>1412</v>
      </c>
      <c r="E758" s="10">
        <v>81000139853</v>
      </c>
      <c r="F758" s="2">
        <f>IFERROR(VLOOKUP(B758,M10B!B:W,22,FALSE),0)</f>
        <v>0</v>
      </c>
      <c r="G758" s="1">
        <f t="shared" si="35"/>
        <v>0</v>
      </c>
      <c r="I758" s="17"/>
    </row>
    <row r="759" spans="1:9" x14ac:dyDescent="0.2">
      <c r="A759" s="1" t="s">
        <v>1378</v>
      </c>
      <c r="B759" s="1" t="s">
        <v>1413</v>
      </c>
      <c r="C759" s="1">
        <v>579058011</v>
      </c>
      <c r="D759" s="14" t="s">
        <v>1414</v>
      </c>
      <c r="E759" s="10">
        <v>81000139835</v>
      </c>
      <c r="F759" s="2">
        <f>IFERROR(VLOOKUP(B759,M10B!B:W,22,FALSE),0)</f>
        <v>0</v>
      </c>
      <c r="G759" s="1">
        <f t="shared" si="35"/>
        <v>0</v>
      </c>
      <c r="I759" s="17"/>
    </row>
    <row r="760" spans="1:9" x14ac:dyDescent="0.2">
      <c r="A760" s="1" t="s">
        <v>1378</v>
      </c>
      <c r="B760" s="1" t="s">
        <v>1415</v>
      </c>
      <c r="C760" s="1">
        <v>579058024</v>
      </c>
      <c r="D760" s="14" t="s">
        <v>1416</v>
      </c>
      <c r="E760" s="10">
        <v>81000139849</v>
      </c>
      <c r="F760" s="2">
        <f>IFERROR(VLOOKUP(B760,M10B!B:W,22,FALSE),0)</f>
        <v>0</v>
      </c>
      <c r="G760" s="1">
        <f t="shared" si="35"/>
        <v>0</v>
      </c>
      <c r="I760" s="17"/>
    </row>
    <row r="761" spans="1:9" x14ac:dyDescent="0.2">
      <c r="A761" s="1" t="s">
        <v>1378</v>
      </c>
      <c r="B761" s="1" t="s">
        <v>1417</v>
      </c>
      <c r="C761" s="1">
        <v>579058012</v>
      </c>
      <c r="D761" s="14" t="s">
        <v>1418</v>
      </c>
      <c r="E761" s="10">
        <v>81000139813</v>
      </c>
      <c r="F761" s="2">
        <f>IFERROR(VLOOKUP(B761,M10B!B:W,22,FALSE),0)</f>
        <v>0</v>
      </c>
      <c r="G761" s="1">
        <f t="shared" si="35"/>
        <v>0</v>
      </c>
      <c r="I761" s="17"/>
    </row>
    <row r="762" spans="1:9" x14ac:dyDescent="0.2">
      <c r="A762" s="1" t="s">
        <v>1378</v>
      </c>
      <c r="B762" s="1" t="s">
        <v>1419</v>
      </c>
      <c r="C762" s="1">
        <v>579058017</v>
      </c>
      <c r="D762" s="14" t="s">
        <v>1420</v>
      </c>
      <c r="E762" s="10">
        <v>81000139825</v>
      </c>
      <c r="F762" s="2">
        <f>IFERROR(VLOOKUP(B762,M10B!B:W,22,FALSE),0)</f>
        <v>0</v>
      </c>
      <c r="G762" s="1">
        <f t="shared" si="35"/>
        <v>0</v>
      </c>
      <c r="I762" s="17"/>
    </row>
    <row r="763" spans="1:9" x14ac:dyDescent="0.2">
      <c r="A763" s="1" t="s">
        <v>1378</v>
      </c>
      <c r="B763" s="1" t="s">
        <v>1421</v>
      </c>
      <c r="C763" s="1">
        <v>579058121</v>
      </c>
      <c r="D763" s="14" t="s">
        <v>1422</v>
      </c>
      <c r="E763" s="10">
        <v>81000139845</v>
      </c>
      <c r="F763" s="2">
        <f>IFERROR(VLOOKUP(B763,M10B!B:W,22,FALSE),0)</f>
        <v>0</v>
      </c>
      <c r="G763" s="1">
        <f t="shared" si="35"/>
        <v>0</v>
      </c>
      <c r="I763" s="17"/>
    </row>
    <row r="764" spans="1:9" x14ac:dyDescent="0.2">
      <c r="A764" s="1" t="s">
        <v>1378</v>
      </c>
      <c r="B764" s="1" t="s">
        <v>1423</v>
      </c>
      <c r="C764" s="1">
        <v>579058015</v>
      </c>
      <c r="D764" s="14" t="s">
        <v>1424</v>
      </c>
      <c r="E764" s="10">
        <v>81000139840</v>
      </c>
      <c r="F764" s="2">
        <f>IFERROR(VLOOKUP(B764,M10B!B:W,22,FALSE),0)</f>
        <v>0</v>
      </c>
      <c r="G764" s="1">
        <f t="shared" si="35"/>
        <v>0</v>
      </c>
      <c r="I764" s="17"/>
    </row>
    <row r="765" spans="1:9" x14ac:dyDescent="0.2">
      <c r="A765" s="1" t="s">
        <v>1378</v>
      </c>
      <c r="B765" s="1" t="s">
        <v>1425</v>
      </c>
      <c r="C765" s="1">
        <v>579058000</v>
      </c>
      <c r="D765" s="14" t="s">
        <v>1426</v>
      </c>
      <c r="E765" s="10">
        <v>81000139826</v>
      </c>
      <c r="F765" s="2">
        <f>IFERROR(VLOOKUP(B765,M10B!B:W,22,FALSE),0)</f>
        <v>0</v>
      </c>
      <c r="G765" s="1">
        <f t="shared" si="35"/>
        <v>0</v>
      </c>
      <c r="I765" s="17"/>
    </row>
    <row r="766" spans="1:9" x14ac:dyDescent="0.2">
      <c r="A766" s="1" t="s">
        <v>1378</v>
      </c>
      <c r="B766" s="1" t="s">
        <v>1427</v>
      </c>
      <c r="C766" s="1">
        <v>579058035</v>
      </c>
      <c r="D766" s="14" t="s">
        <v>1428</v>
      </c>
      <c r="E766" s="10">
        <v>81000139852</v>
      </c>
      <c r="F766" s="2">
        <f>IFERROR(VLOOKUP(B766,M10B!B:W,22,FALSE),0)</f>
        <v>0</v>
      </c>
      <c r="G766" s="1">
        <f t="shared" si="35"/>
        <v>0</v>
      </c>
      <c r="I766" s="17"/>
    </row>
    <row r="767" spans="1:9" x14ac:dyDescent="0.2">
      <c r="A767" s="1" t="s">
        <v>1378</v>
      </c>
      <c r="B767" s="1" t="s">
        <v>1429</v>
      </c>
      <c r="C767" s="1">
        <v>579058028</v>
      </c>
      <c r="D767" s="14" t="s">
        <v>1430</v>
      </c>
      <c r="E767" s="10">
        <v>81000139824</v>
      </c>
      <c r="F767" s="2">
        <f>IFERROR(VLOOKUP(B767,M10B!B:W,22,FALSE),0)</f>
        <v>0</v>
      </c>
      <c r="G767" s="1">
        <f t="shared" si="35"/>
        <v>0</v>
      </c>
      <c r="I767" s="17"/>
    </row>
    <row r="768" spans="1:9" x14ac:dyDescent="0.2">
      <c r="A768" s="1" t="s">
        <v>1378</v>
      </c>
      <c r="B768" s="1" t="s">
        <v>1431</v>
      </c>
      <c r="C768" s="1">
        <v>579058111</v>
      </c>
      <c r="D768" s="14" t="s">
        <v>1432</v>
      </c>
      <c r="E768" s="10">
        <v>81000139793</v>
      </c>
      <c r="F768" s="2">
        <f>IFERROR(VLOOKUP(B768,M10B!B:W,22,FALSE),0)</f>
        <v>0</v>
      </c>
      <c r="G768" s="1">
        <f t="shared" si="35"/>
        <v>0</v>
      </c>
      <c r="I768" s="17"/>
    </row>
    <row r="769" spans="1:9" x14ac:dyDescent="0.2">
      <c r="A769" s="1" t="s">
        <v>1378</v>
      </c>
      <c r="B769" s="1" t="s">
        <v>1433</v>
      </c>
      <c r="C769" s="1">
        <v>579058031</v>
      </c>
      <c r="D769" s="14" t="s">
        <v>1434</v>
      </c>
      <c r="E769" s="10">
        <v>81000139841</v>
      </c>
      <c r="F769" s="2">
        <f>IFERROR(VLOOKUP(B769,M10B!B:W,22,FALSE),0)</f>
        <v>0</v>
      </c>
      <c r="G769" s="1">
        <f t="shared" si="35"/>
        <v>0</v>
      </c>
      <c r="I769" s="17"/>
    </row>
    <row r="770" spans="1:9" x14ac:dyDescent="0.2">
      <c r="A770" s="1" t="s">
        <v>1378</v>
      </c>
      <c r="B770" s="1" t="s">
        <v>1435</v>
      </c>
      <c r="C770" s="1">
        <v>579058156</v>
      </c>
      <c r="D770" s="14" t="s">
        <v>1436</v>
      </c>
      <c r="E770" s="10">
        <v>81000139829</v>
      </c>
      <c r="F770" s="2">
        <f>IFERROR(VLOOKUP(B770,M10B!B:W,22,FALSE),0)</f>
        <v>0</v>
      </c>
      <c r="G770" s="1">
        <f t="shared" si="35"/>
        <v>0</v>
      </c>
      <c r="I770" s="17"/>
    </row>
    <row r="771" spans="1:9" x14ac:dyDescent="0.2">
      <c r="A771" s="1" t="s">
        <v>1378</v>
      </c>
      <c r="B771" s="1" t="s">
        <v>1437</v>
      </c>
      <c r="C771" s="1">
        <v>579057999</v>
      </c>
      <c r="D771" s="14" t="s">
        <v>1438</v>
      </c>
      <c r="E771" s="10">
        <v>81000139843</v>
      </c>
      <c r="F771" s="2">
        <f>IFERROR(VLOOKUP(B771,M10B!B:W,22,FALSE),0)</f>
        <v>0</v>
      </c>
      <c r="G771" s="1">
        <f t="shared" si="35"/>
        <v>0</v>
      </c>
      <c r="I771" s="17"/>
    </row>
    <row r="772" spans="1:9" x14ac:dyDescent="0.2">
      <c r="A772" s="1" t="s">
        <v>1378</v>
      </c>
      <c r="B772" s="1" t="s">
        <v>1439</v>
      </c>
      <c r="C772" s="1">
        <v>579058098</v>
      </c>
      <c r="D772" s="14" t="s">
        <v>1440</v>
      </c>
      <c r="E772" s="10">
        <v>81000139834</v>
      </c>
      <c r="F772" s="2">
        <f>IFERROR(VLOOKUP(B772,M10B!B:W,22,FALSE),0)</f>
        <v>0</v>
      </c>
      <c r="G772" s="1">
        <f t="shared" si="35"/>
        <v>0</v>
      </c>
      <c r="I772" s="17"/>
    </row>
    <row r="773" spans="1:9" x14ac:dyDescent="0.2">
      <c r="A773" s="1" t="s">
        <v>1378</v>
      </c>
      <c r="B773" s="1" t="s">
        <v>1441</v>
      </c>
      <c r="C773" s="1">
        <v>579058054</v>
      </c>
      <c r="D773" s="14" t="s">
        <v>1442</v>
      </c>
      <c r="E773" s="10">
        <v>81000139851</v>
      </c>
      <c r="F773" s="2">
        <f>IFERROR(VLOOKUP(B773,M10B!B:W,22,FALSE),0)</f>
        <v>0</v>
      </c>
      <c r="G773" s="1">
        <f t="shared" si="35"/>
        <v>0</v>
      </c>
      <c r="I773" s="17"/>
    </row>
    <row r="774" spans="1:9" x14ac:dyDescent="0.2">
      <c r="A774" s="1" t="s">
        <v>1378</v>
      </c>
      <c r="B774" s="1" t="s">
        <v>1443</v>
      </c>
      <c r="C774" s="1">
        <v>579058026</v>
      </c>
      <c r="D774" s="14" t="s">
        <v>1444</v>
      </c>
      <c r="E774" s="10">
        <v>81000139827</v>
      </c>
      <c r="F774" s="2">
        <f>IFERROR(VLOOKUP(B774,M10B!B:W,22,FALSE),0)</f>
        <v>0</v>
      </c>
      <c r="G774" s="1">
        <f t="shared" si="35"/>
        <v>0</v>
      </c>
      <c r="I774" s="17"/>
    </row>
    <row r="775" spans="1:9" x14ac:dyDescent="0.2">
      <c r="A775" s="1" t="s">
        <v>1378</v>
      </c>
      <c r="B775" s="1" t="s">
        <v>1445</v>
      </c>
      <c r="C775" s="1">
        <v>579058034</v>
      </c>
      <c r="D775" s="14" t="s">
        <v>1446</v>
      </c>
      <c r="E775" s="10">
        <v>81000139854</v>
      </c>
      <c r="F775" s="2">
        <f>IFERROR(VLOOKUP(B775,M10B!B:W,22,FALSE),0)</f>
        <v>0</v>
      </c>
      <c r="G775" s="1">
        <f t="shared" si="35"/>
        <v>0</v>
      </c>
      <c r="I775" s="17"/>
    </row>
    <row r="776" spans="1:9" x14ac:dyDescent="0.2">
      <c r="A776" s="1" t="s">
        <v>1378</v>
      </c>
      <c r="B776" s="1" t="s">
        <v>1447</v>
      </c>
      <c r="C776" s="1">
        <v>579058025</v>
      </c>
      <c r="D776" s="14" t="s">
        <v>1448</v>
      </c>
      <c r="E776" s="10">
        <v>81000139828</v>
      </c>
      <c r="F776" s="2">
        <f>IFERROR(VLOOKUP(B776,M10B!B:W,22,FALSE),0)</f>
        <v>0</v>
      </c>
      <c r="G776" s="1">
        <f t="shared" si="35"/>
        <v>0</v>
      </c>
      <c r="I776" s="17"/>
    </row>
    <row r="777" spans="1:9" x14ac:dyDescent="0.2">
      <c r="A777" s="1" t="s">
        <v>1378</v>
      </c>
      <c r="B777" s="1" t="s">
        <v>1449</v>
      </c>
      <c r="C777" s="1">
        <v>579058027</v>
      </c>
      <c r="D777" s="14" t="s">
        <v>1450</v>
      </c>
      <c r="E777" s="10">
        <v>81000139823</v>
      </c>
      <c r="F777" s="2">
        <f>IFERROR(VLOOKUP(B777,M10B!B:W,22,FALSE),0)</f>
        <v>0</v>
      </c>
      <c r="G777" s="1">
        <f t="shared" si="35"/>
        <v>0</v>
      </c>
      <c r="I777" s="17"/>
    </row>
    <row r="778" spans="1:9" x14ac:dyDescent="0.2">
      <c r="A778" s="1" t="s">
        <v>1378</v>
      </c>
      <c r="B778" s="1" t="s">
        <v>1451</v>
      </c>
      <c r="C778" s="1">
        <v>579058029</v>
      </c>
      <c r="D778" s="14" t="s">
        <v>1452</v>
      </c>
      <c r="E778" s="10">
        <v>81000139844</v>
      </c>
      <c r="F778" s="2">
        <f>IFERROR(VLOOKUP(B778,M10B!B:W,22,FALSE),0)</f>
        <v>0</v>
      </c>
      <c r="G778" s="1">
        <f t="shared" si="35"/>
        <v>0</v>
      </c>
      <c r="I778" s="17"/>
    </row>
    <row r="779" spans="1:9" x14ac:dyDescent="0.2">
      <c r="A779" s="1" t="s">
        <v>1378</v>
      </c>
      <c r="B779" s="1" t="s">
        <v>1453</v>
      </c>
      <c r="C779" s="1">
        <v>579058055</v>
      </c>
      <c r="D779" s="14" t="s">
        <v>1454</v>
      </c>
      <c r="E779" s="10">
        <v>81000139797</v>
      </c>
      <c r="F779" s="2">
        <f>IFERROR(VLOOKUP(B779,M10B!B:W,22,FALSE),0)</f>
        <v>0</v>
      </c>
      <c r="G779" s="1">
        <f t="shared" si="35"/>
        <v>0</v>
      </c>
      <c r="I779" s="17"/>
    </row>
    <row r="780" spans="1:9" x14ac:dyDescent="0.2">
      <c r="A780" s="1" t="s">
        <v>1378</v>
      </c>
      <c r="B780" s="1" t="s">
        <v>1455</v>
      </c>
      <c r="C780" s="1">
        <v>579058036</v>
      </c>
      <c r="D780" s="14" t="s">
        <v>1456</v>
      </c>
      <c r="E780" s="10">
        <v>81000139836</v>
      </c>
      <c r="F780" s="2">
        <f>IFERROR(VLOOKUP(B780,M10B!B:W,22,FALSE),0)</f>
        <v>0</v>
      </c>
      <c r="G780" s="1">
        <f t="shared" si="35"/>
        <v>0</v>
      </c>
      <c r="I780" s="17"/>
    </row>
    <row r="781" spans="1:9" x14ac:dyDescent="0.2">
      <c r="A781" s="1" t="s">
        <v>1378</v>
      </c>
      <c r="B781" s="1" t="s">
        <v>1457</v>
      </c>
      <c r="C781" s="1">
        <v>579058030</v>
      </c>
      <c r="D781" s="14" t="s">
        <v>1458</v>
      </c>
      <c r="E781" s="10">
        <v>81000139847</v>
      </c>
      <c r="F781" s="2">
        <f>IFERROR(VLOOKUP(B781,M10B!B:W,22,FALSE),0)</f>
        <v>0</v>
      </c>
      <c r="G781" s="1">
        <f t="shared" ref="G781:G787" si="36">CEILING(F781,80)</f>
        <v>0</v>
      </c>
      <c r="I781" s="17"/>
    </row>
    <row r="782" spans="1:9" x14ac:dyDescent="0.2">
      <c r="A782" s="1" t="s">
        <v>1378</v>
      </c>
      <c r="B782" s="1" t="s">
        <v>1459</v>
      </c>
      <c r="C782" s="1">
        <v>579058038</v>
      </c>
      <c r="D782" s="14" t="s">
        <v>1460</v>
      </c>
      <c r="E782" s="10">
        <v>81000139842</v>
      </c>
      <c r="F782" s="2">
        <f>IFERROR(VLOOKUP(B782,M10B!B:W,22,FALSE),0)</f>
        <v>0</v>
      </c>
      <c r="G782" s="1">
        <f t="shared" si="36"/>
        <v>0</v>
      </c>
      <c r="I782" s="17"/>
    </row>
    <row r="783" spans="1:9" x14ac:dyDescent="0.2">
      <c r="A783" s="1" t="s">
        <v>1378</v>
      </c>
      <c r="B783" s="1" t="s">
        <v>1461</v>
      </c>
      <c r="C783" s="1">
        <v>579058042</v>
      </c>
      <c r="D783" s="14" t="s">
        <v>1462</v>
      </c>
      <c r="E783" s="10">
        <v>81000139780</v>
      </c>
      <c r="F783" s="2">
        <f>IFERROR(VLOOKUP(B783,M10B!B:W,22,FALSE),0)</f>
        <v>0</v>
      </c>
      <c r="G783" s="1">
        <f t="shared" si="36"/>
        <v>0</v>
      </c>
      <c r="I783" s="17"/>
    </row>
    <row r="784" spans="1:9" x14ac:dyDescent="0.2">
      <c r="A784" s="1" t="s">
        <v>1378</v>
      </c>
      <c r="B784" s="1" t="s">
        <v>1463</v>
      </c>
      <c r="C784" s="1">
        <v>579058037</v>
      </c>
      <c r="D784" s="14" t="s">
        <v>1464</v>
      </c>
      <c r="E784" s="10">
        <v>81000139798</v>
      </c>
      <c r="F784" s="2">
        <f>IFERROR(VLOOKUP(B784,M10B!B:W,22,FALSE),0)</f>
        <v>0</v>
      </c>
      <c r="G784" s="1">
        <f t="shared" si="36"/>
        <v>0</v>
      </c>
      <c r="I784" s="17"/>
    </row>
    <row r="785" spans="1:9" x14ac:dyDescent="0.2">
      <c r="A785" s="1" t="s">
        <v>1378</v>
      </c>
      <c r="B785" s="1" t="s">
        <v>1465</v>
      </c>
      <c r="C785" s="1">
        <v>579058044</v>
      </c>
      <c r="D785" s="14" t="s">
        <v>1466</v>
      </c>
      <c r="E785" s="10">
        <v>81000139831</v>
      </c>
      <c r="F785" s="2">
        <f>IFERROR(VLOOKUP(B785,M10B!B:W,22,FALSE),0)</f>
        <v>0</v>
      </c>
      <c r="G785" s="1">
        <f t="shared" si="36"/>
        <v>0</v>
      </c>
      <c r="I785" s="17"/>
    </row>
    <row r="786" spans="1:9" x14ac:dyDescent="0.2">
      <c r="A786" s="1" t="s">
        <v>1378</v>
      </c>
      <c r="B786" s="1" t="s">
        <v>1467</v>
      </c>
      <c r="C786" s="1">
        <v>579058002</v>
      </c>
      <c r="D786" s="14" t="s">
        <v>1468</v>
      </c>
      <c r="E786" s="10">
        <v>81000139833</v>
      </c>
      <c r="F786" s="2">
        <f>IFERROR(VLOOKUP(B786,M10B!B:W,22,FALSE),0)</f>
        <v>0</v>
      </c>
      <c r="G786" s="1">
        <f t="shared" si="36"/>
        <v>0</v>
      </c>
      <c r="I786" s="17"/>
    </row>
    <row r="787" spans="1:9" x14ac:dyDescent="0.2">
      <c r="A787" s="1" t="s">
        <v>1378</v>
      </c>
      <c r="B787" s="1" t="s">
        <v>1469</v>
      </c>
      <c r="C787" s="1">
        <v>579058007</v>
      </c>
      <c r="D787" s="14" t="s">
        <v>1470</v>
      </c>
      <c r="E787" s="10">
        <v>81000139830</v>
      </c>
      <c r="F787" s="2">
        <f>IFERROR(VLOOKUP(B787,M10B!B:W,22,FALSE),0)</f>
        <v>0</v>
      </c>
      <c r="G787" s="1">
        <f t="shared" si="36"/>
        <v>0</v>
      </c>
      <c r="I787" s="17"/>
    </row>
    <row r="788" spans="1:9" x14ac:dyDescent="0.2">
      <c r="A788" s="1" t="s">
        <v>1682</v>
      </c>
      <c r="B788" s="1" t="s">
        <v>1685</v>
      </c>
      <c r="C788" s="1">
        <v>580594311</v>
      </c>
      <c r="D788" s="14" t="s">
        <v>1686</v>
      </c>
      <c r="E788" s="10">
        <v>81000139382</v>
      </c>
      <c r="F788" s="2">
        <f>IFERROR(VLOOKUP(B788,M10B!B:W,22,FALSE),0)</f>
        <v>3000</v>
      </c>
      <c r="G788" s="12">
        <f>CEILING(F788,8)</f>
        <v>3000</v>
      </c>
      <c r="I788" s="17"/>
    </row>
    <row r="789" spans="1:9" x14ac:dyDescent="0.2">
      <c r="A789" s="1" t="s">
        <v>1687</v>
      </c>
      <c r="B789" s="1" t="s">
        <v>1688</v>
      </c>
      <c r="C789" s="1">
        <v>584323901</v>
      </c>
      <c r="D789" s="14" t="s">
        <v>1689</v>
      </c>
      <c r="E789" s="10">
        <v>81004033418</v>
      </c>
      <c r="F789" s="2">
        <f>IFERROR(VLOOKUP(B789,M10B!B:W,22,FALSE),0)</f>
        <v>0</v>
      </c>
      <c r="G789" s="12">
        <f>CEILING(F789,120)</f>
        <v>0</v>
      </c>
      <c r="I789" s="17"/>
    </row>
    <row r="790" spans="1:9" x14ac:dyDescent="0.2">
      <c r="A790" s="12" t="s">
        <v>1719</v>
      </c>
      <c r="B790" s="12" t="s">
        <v>644</v>
      </c>
      <c r="C790" s="12">
        <v>581933052</v>
      </c>
      <c r="D790" s="16" t="s">
        <v>1720</v>
      </c>
      <c r="E790" s="18">
        <v>81004033142</v>
      </c>
      <c r="F790" s="2">
        <f>IFERROR(VLOOKUP(B790,M10B!B:W,22,FALSE),0)</f>
        <v>0</v>
      </c>
      <c r="G790" s="12">
        <f>CEILING(F790,72)</f>
        <v>0</v>
      </c>
      <c r="I790" s="17"/>
    </row>
    <row r="791" spans="1:9" x14ac:dyDescent="0.2">
      <c r="A791" s="12" t="s">
        <v>1719</v>
      </c>
      <c r="B791" s="12" t="s">
        <v>642</v>
      </c>
      <c r="C791" s="12">
        <v>581933040</v>
      </c>
      <c r="D791" s="16" t="s">
        <v>1722</v>
      </c>
      <c r="E791" s="18">
        <v>81004033141</v>
      </c>
      <c r="F791" s="2">
        <f>IFERROR(VLOOKUP(B791,M10B!B:W,22,FALSE),0)</f>
        <v>0</v>
      </c>
      <c r="G791" s="12">
        <f>CEILING(F791,72)</f>
        <v>0</v>
      </c>
      <c r="I791" s="17"/>
    </row>
    <row r="792" spans="1:9" x14ac:dyDescent="0.2">
      <c r="A792" s="12" t="s">
        <v>1719</v>
      </c>
      <c r="B792" s="12" t="s">
        <v>643</v>
      </c>
      <c r="C792" s="12">
        <v>581933049</v>
      </c>
      <c r="D792" s="16" t="s">
        <v>1724</v>
      </c>
      <c r="E792" s="18">
        <v>81004033143</v>
      </c>
      <c r="F792" s="2">
        <f>IFERROR(VLOOKUP(B792,M10B!B:W,22,FALSE),0)</f>
        <v>0</v>
      </c>
      <c r="G792" s="12">
        <f>CEILING(F792,72)</f>
        <v>0</v>
      </c>
      <c r="I792" s="17"/>
    </row>
    <row r="793" spans="1:9" x14ac:dyDescent="0.2">
      <c r="A793" s="12" t="s">
        <v>1742</v>
      </c>
      <c r="B793" s="12" t="s">
        <v>1721</v>
      </c>
      <c r="C793" s="12">
        <v>582083552</v>
      </c>
      <c r="D793" s="16" t="s">
        <v>1743</v>
      </c>
      <c r="E793" s="18">
        <v>81004033123</v>
      </c>
      <c r="F793" s="2">
        <f>IFERROR(VLOOKUP(B793,M10B!B:W,22,FALSE),0)</f>
        <v>0</v>
      </c>
      <c r="G793" s="12">
        <f>CEILING(F793,80)</f>
        <v>0</v>
      </c>
      <c r="I793" s="17"/>
    </row>
    <row r="794" spans="1:9" x14ac:dyDescent="0.2">
      <c r="A794" s="12" t="s">
        <v>1742</v>
      </c>
      <c r="B794" s="12" t="s">
        <v>1723</v>
      </c>
      <c r="C794" s="12">
        <v>582083551</v>
      </c>
      <c r="D794" s="16" t="s">
        <v>1744</v>
      </c>
      <c r="E794" s="18">
        <v>81004033124</v>
      </c>
      <c r="F794" s="2">
        <f>IFERROR(VLOOKUP(B794,M10B!B:W,22,FALSE),0)</f>
        <v>0</v>
      </c>
      <c r="G794" s="12">
        <f>CEILING(F794,80)</f>
        <v>0</v>
      </c>
      <c r="I794" s="17"/>
    </row>
    <row r="795" spans="1:9" x14ac:dyDescent="0.2">
      <c r="A795" s="12" t="s">
        <v>1742</v>
      </c>
      <c r="B795" s="12" t="s">
        <v>1725</v>
      </c>
      <c r="C795" s="12">
        <v>582083553</v>
      </c>
      <c r="D795" s="16" t="s">
        <v>1745</v>
      </c>
      <c r="E795" s="18">
        <v>81004033125</v>
      </c>
      <c r="F795" s="2">
        <f>IFERROR(VLOOKUP(B795,M10B!B:W,22,FALSE),0)</f>
        <v>0</v>
      </c>
      <c r="G795" s="12">
        <f>CEILING(F795,80)</f>
        <v>0</v>
      </c>
      <c r="I795" s="17"/>
    </row>
    <row r="796" spans="1:9" x14ac:dyDescent="0.2">
      <c r="A796" s="12" t="s">
        <v>1687</v>
      </c>
      <c r="B796" s="12" t="s">
        <v>1690</v>
      </c>
      <c r="C796" s="12">
        <v>584323907</v>
      </c>
      <c r="D796" s="16" t="s">
        <v>1691</v>
      </c>
      <c r="E796" s="18">
        <v>81004033417</v>
      </c>
      <c r="F796" s="2">
        <f>IFERROR(VLOOKUP(B796,M10B!B:W,22,FALSE),0)</f>
        <v>0</v>
      </c>
      <c r="G796" s="12">
        <f>CEILING(F796,120)</f>
        <v>0</v>
      </c>
      <c r="I796" s="17"/>
    </row>
    <row r="797" spans="1:9" x14ac:dyDescent="0.2">
      <c r="A797" s="12" t="s">
        <v>1687</v>
      </c>
      <c r="B797" s="12" t="s">
        <v>1702</v>
      </c>
      <c r="C797" s="12">
        <v>584323910</v>
      </c>
      <c r="D797" s="16" t="s">
        <v>1703</v>
      </c>
      <c r="E797" s="18">
        <v>81004033408</v>
      </c>
      <c r="F797" s="2">
        <f>IFERROR(VLOOKUP(B797,M10B!B:W,22,FALSE),0)</f>
        <v>0</v>
      </c>
      <c r="G797" s="12">
        <f>CEILING(F797,150)</f>
        <v>0</v>
      </c>
      <c r="I797" s="17"/>
    </row>
    <row r="798" spans="1:9" x14ac:dyDescent="0.2">
      <c r="A798" s="12" t="s">
        <v>1687</v>
      </c>
      <c r="B798" s="12" t="s">
        <v>1708</v>
      </c>
      <c r="C798" s="12">
        <v>584323905</v>
      </c>
      <c r="D798" s="16" t="s">
        <v>1709</v>
      </c>
      <c r="E798" s="18">
        <v>81004033415</v>
      </c>
      <c r="F798" s="2">
        <f>IFERROR(VLOOKUP(B798,M10B!B:W,22,FALSE),0)</f>
        <v>0</v>
      </c>
      <c r="G798" s="12">
        <f>CEILING(F798,150)</f>
        <v>0</v>
      </c>
      <c r="I798" s="17"/>
    </row>
    <row r="799" spans="1:9" x14ac:dyDescent="0.2">
      <c r="A799" s="12" t="s">
        <v>1687</v>
      </c>
      <c r="B799" s="12" t="s">
        <v>1712</v>
      </c>
      <c r="C799" s="12">
        <v>584323912</v>
      </c>
      <c r="D799" s="16" t="s">
        <v>1713</v>
      </c>
      <c r="E799" s="18">
        <v>81004033419</v>
      </c>
      <c r="F799" s="2">
        <f>IFERROR(VLOOKUP(B799,M10B!B:W,22,FALSE),0)</f>
        <v>0</v>
      </c>
      <c r="G799" s="12">
        <f>CEILING(F799,120)</f>
        <v>0</v>
      </c>
      <c r="I799" s="17"/>
    </row>
    <row r="800" spans="1:9" x14ac:dyDescent="0.2">
      <c r="A800" s="12" t="s">
        <v>1687</v>
      </c>
      <c r="B800" s="12" t="s">
        <v>1716</v>
      </c>
      <c r="C800" s="12">
        <v>584323909</v>
      </c>
      <c r="D800" s="16" t="s">
        <v>1717</v>
      </c>
      <c r="E800" s="18">
        <v>81004033407</v>
      </c>
      <c r="F800" s="2">
        <f>IFERROR(VLOOKUP(B800,M10B!B:W,22,FALSE),0)</f>
        <v>0</v>
      </c>
      <c r="G800" s="12">
        <f>CEILING(F800,150)</f>
        <v>0</v>
      </c>
      <c r="I800" s="17"/>
    </row>
    <row r="801" spans="1:9" x14ac:dyDescent="0.2">
      <c r="A801" s="12" t="s">
        <v>1718</v>
      </c>
      <c r="B801" s="12" t="s">
        <v>1726</v>
      </c>
      <c r="C801" s="12">
        <v>581933047</v>
      </c>
      <c r="D801" s="16" t="s">
        <v>1727</v>
      </c>
      <c r="E801" s="18">
        <v>81004033129</v>
      </c>
      <c r="F801" s="2">
        <f>IFERROR(VLOOKUP(B801,M10B!B:W,22,FALSE),0)</f>
        <v>0</v>
      </c>
      <c r="G801" s="12">
        <f t="shared" ref="G801:G809" si="37">CEILING(F801,80)</f>
        <v>0</v>
      </c>
      <c r="I801" s="17"/>
    </row>
    <row r="802" spans="1:9" x14ac:dyDescent="0.2">
      <c r="A802" s="12" t="s">
        <v>1718</v>
      </c>
      <c r="B802" s="12" t="s">
        <v>1728</v>
      </c>
      <c r="C802" s="12">
        <v>581933046</v>
      </c>
      <c r="D802" s="16" t="s">
        <v>1729</v>
      </c>
      <c r="E802" s="18">
        <v>81004033127</v>
      </c>
      <c r="F802" s="2">
        <f>IFERROR(VLOOKUP(B802,M10B!B:W,22,FALSE),0)</f>
        <v>0</v>
      </c>
      <c r="G802" s="12">
        <f t="shared" si="37"/>
        <v>0</v>
      </c>
      <c r="I802" s="17"/>
    </row>
    <row r="803" spans="1:9" x14ac:dyDescent="0.2">
      <c r="A803" s="12" t="s">
        <v>1718</v>
      </c>
      <c r="B803" s="12" t="s">
        <v>1730</v>
      </c>
      <c r="C803" s="12">
        <v>581933045</v>
      </c>
      <c r="D803" s="16" t="s">
        <v>1731</v>
      </c>
      <c r="E803" s="18">
        <v>81004033126</v>
      </c>
      <c r="F803" s="2">
        <f>IFERROR(VLOOKUP(B803,M10B!B:W,22,FALSE),0)</f>
        <v>0</v>
      </c>
      <c r="G803" s="12">
        <f t="shared" si="37"/>
        <v>0</v>
      </c>
      <c r="I803" s="17"/>
    </row>
    <row r="804" spans="1:9" x14ac:dyDescent="0.2">
      <c r="A804" s="12" t="s">
        <v>1718</v>
      </c>
      <c r="B804" s="12" t="s">
        <v>1732</v>
      </c>
      <c r="C804" s="12">
        <v>581933043</v>
      </c>
      <c r="D804" s="16" t="s">
        <v>1733</v>
      </c>
      <c r="E804" s="18">
        <v>81004033130</v>
      </c>
      <c r="F804" s="2">
        <f>IFERROR(VLOOKUP(B804,M10B!B:W,22,FALSE),0)</f>
        <v>0</v>
      </c>
      <c r="G804" s="12">
        <f t="shared" si="37"/>
        <v>0</v>
      </c>
      <c r="I804" s="17"/>
    </row>
    <row r="805" spans="1:9" x14ac:dyDescent="0.2">
      <c r="A805" s="12" t="s">
        <v>1718</v>
      </c>
      <c r="B805" s="12" t="s">
        <v>1734</v>
      </c>
      <c r="C805" s="12">
        <v>581933036</v>
      </c>
      <c r="D805" s="16" t="s">
        <v>1735</v>
      </c>
      <c r="E805" s="18">
        <v>81004033133</v>
      </c>
      <c r="F805" s="2">
        <f>IFERROR(VLOOKUP(B805,M10B!B:W,22,FALSE),0)</f>
        <v>0</v>
      </c>
      <c r="G805" s="12">
        <f t="shared" si="37"/>
        <v>0</v>
      </c>
      <c r="I805" s="17"/>
    </row>
    <row r="806" spans="1:9" x14ac:dyDescent="0.2">
      <c r="A806" s="12" t="s">
        <v>1718</v>
      </c>
      <c r="B806" s="12" t="s">
        <v>1736</v>
      </c>
      <c r="C806" s="12">
        <v>581933039</v>
      </c>
      <c r="D806" s="16" t="s">
        <v>1737</v>
      </c>
      <c r="E806" s="18">
        <v>81004033132</v>
      </c>
      <c r="F806" s="2">
        <f>IFERROR(VLOOKUP(B806,M10B!B:W,22,FALSE),0)</f>
        <v>0</v>
      </c>
      <c r="G806" s="12">
        <f t="shared" si="37"/>
        <v>0</v>
      </c>
      <c r="I806" s="17"/>
    </row>
    <row r="807" spans="1:9" x14ac:dyDescent="0.2">
      <c r="A807" s="12" t="s">
        <v>1718</v>
      </c>
      <c r="B807" s="12" t="s">
        <v>1738</v>
      </c>
      <c r="C807" s="12">
        <v>581933037</v>
      </c>
      <c r="D807" s="16" t="s">
        <v>1739</v>
      </c>
      <c r="E807" s="18">
        <v>81004033131</v>
      </c>
      <c r="F807" s="2">
        <f>IFERROR(VLOOKUP(B807,M10B!B:W,22,FALSE),0)</f>
        <v>0</v>
      </c>
      <c r="G807" s="12">
        <f t="shared" si="37"/>
        <v>0</v>
      </c>
      <c r="I807" s="17"/>
    </row>
    <row r="808" spans="1:9" x14ac:dyDescent="0.2">
      <c r="A808" s="12" t="s">
        <v>1718</v>
      </c>
      <c r="B808" s="12" t="s">
        <v>1740</v>
      </c>
      <c r="C808" s="12">
        <v>581933048</v>
      </c>
      <c r="D808" s="16" t="s">
        <v>1741</v>
      </c>
      <c r="E808" s="18">
        <v>81004033134</v>
      </c>
      <c r="F808" s="2">
        <f>IFERROR(VLOOKUP(B808,M10B!B:W,22,FALSE),0)</f>
        <v>0</v>
      </c>
      <c r="G808" s="12">
        <f t="shared" si="37"/>
        <v>0</v>
      </c>
      <c r="I808" s="17"/>
    </row>
    <row r="809" spans="1:9" x14ac:dyDescent="0.2">
      <c r="A809" s="12" t="s">
        <v>1718</v>
      </c>
      <c r="B809" s="12" t="s">
        <v>1746</v>
      </c>
      <c r="C809" s="12">
        <v>581933042</v>
      </c>
      <c r="D809" s="16" t="s">
        <v>1747</v>
      </c>
      <c r="E809" s="18">
        <v>81004033128</v>
      </c>
      <c r="F809" s="2">
        <f>IFERROR(VLOOKUP(B809,M10B!B:W,22,FALSE),0)</f>
        <v>0</v>
      </c>
      <c r="G809" s="12">
        <f t="shared" si="37"/>
        <v>0</v>
      </c>
      <c r="I809" s="17"/>
    </row>
    <row r="810" spans="1:9" x14ac:dyDescent="0.2">
      <c r="A810" s="12" t="s">
        <v>1687</v>
      </c>
      <c r="B810" s="12" t="s">
        <v>1692</v>
      </c>
      <c r="C810" s="12">
        <v>584323902</v>
      </c>
      <c r="D810" s="16" t="s">
        <v>1693</v>
      </c>
      <c r="E810" s="18">
        <v>81004033405</v>
      </c>
      <c r="F810" s="2">
        <f>IFERROR(VLOOKUP(B810,M10B!B:W,22,FALSE),0)</f>
        <v>0</v>
      </c>
      <c r="G810" s="12">
        <f>CEILING(F810,150)</f>
        <v>0</v>
      </c>
      <c r="I810" s="17"/>
    </row>
    <row r="811" spans="1:9" x14ac:dyDescent="0.2">
      <c r="A811" s="12" t="s">
        <v>1687</v>
      </c>
      <c r="B811" s="12" t="s">
        <v>1694</v>
      </c>
      <c r="C811" s="12">
        <v>584323914</v>
      </c>
      <c r="D811" s="16" t="s">
        <v>1695</v>
      </c>
      <c r="E811" s="18">
        <v>81004033406</v>
      </c>
      <c r="F811" s="2">
        <f>IFERROR(VLOOKUP(B811,M10B!B:W,22,FALSE),0)</f>
        <v>0</v>
      </c>
      <c r="G811" s="12">
        <f>CEILING(F811,150)</f>
        <v>0</v>
      </c>
      <c r="I811" s="17"/>
    </row>
    <row r="812" spans="1:9" x14ac:dyDescent="0.2">
      <c r="A812" s="12" t="s">
        <v>1687</v>
      </c>
      <c r="B812" s="12" t="s">
        <v>1696</v>
      </c>
      <c r="C812" s="12">
        <v>584323906</v>
      </c>
      <c r="D812" s="16" t="s">
        <v>1697</v>
      </c>
      <c r="E812" s="18">
        <v>81004033410</v>
      </c>
      <c r="F812" s="2">
        <f>IFERROR(VLOOKUP(B812,M10B!B:W,22,FALSE),0)</f>
        <v>0</v>
      </c>
      <c r="G812" s="12">
        <f t="shared" ref="G812:G817" si="38">CEILING(F812,120)</f>
        <v>0</v>
      </c>
      <c r="I812" s="17"/>
    </row>
    <row r="813" spans="1:9" x14ac:dyDescent="0.2">
      <c r="A813" s="12" t="s">
        <v>1687</v>
      </c>
      <c r="B813" s="12" t="s">
        <v>1698</v>
      </c>
      <c r="C813" s="12">
        <v>584323908</v>
      </c>
      <c r="D813" s="16" t="s">
        <v>1699</v>
      </c>
      <c r="E813" s="18">
        <v>81004033414</v>
      </c>
      <c r="F813" s="2">
        <f>IFERROR(VLOOKUP(B813,M10B!B:W,22,FALSE),0)</f>
        <v>0</v>
      </c>
      <c r="G813" s="12">
        <f t="shared" si="38"/>
        <v>0</v>
      </c>
      <c r="I813" s="17"/>
    </row>
    <row r="814" spans="1:9" x14ac:dyDescent="0.2">
      <c r="A814" s="12" t="s">
        <v>1687</v>
      </c>
      <c r="B814" s="12" t="s">
        <v>1700</v>
      </c>
      <c r="C814" s="12">
        <v>584323904</v>
      </c>
      <c r="D814" s="16" t="s">
        <v>1701</v>
      </c>
      <c r="E814" s="18">
        <v>81004033412</v>
      </c>
      <c r="F814" s="2">
        <f>IFERROR(VLOOKUP(B814,M10B!B:W,22,FALSE),0)</f>
        <v>0</v>
      </c>
      <c r="G814" s="12">
        <f t="shared" si="38"/>
        <v>0</v>
      </c>
      <c r="I814" s="17"/>
    </row>
    <row r="815" spans="1:9" x14ac:dyDescent="0.2">
      <c r="A815" s="12" t="s">
        <v>1687</v>
      </c>
      <c r="B815" s="12" t="s">
        <v>1706</v>
      </c>
      <c r="C815" s="12">
        <v>584323915</v>
      </c>
      <c r="D815" s="16" t="s">
        <v>1707</v>
      </c>
      <c r="E815" s="18">
        <v>81004033413</v>
      </c>
      <c r="F815" s="2">
        <f>IFERROR(VLOOKUP(B815,M10B!B:W,22,FALSE),0)</f>
        <v>0</v>
      </c>
      <c r="G815" s="12">
        <f t="shared" si="38"/>
        <v>0</v>
      </c>
      <c r="I815" s="17"/>
    </row>
    <row r="816" spans="1:9" x14ac:dyDescent="0.2">
      <c r="A816" s="12" t="s">
        <v>1687</v>
      </c>
      <c r="B816" s="12" t="s">
        <v>1710</v>
      </c>
      <c r="C816" s="12">
        <v>584323913</v>
      </c>
      <c r="D816" s="16" t="s">
        <v>1711</v>
      </c>
      <c r="E816" s="18">
        <v>81004033409</v>
      </c>
      <c r="F816" s="2">
        <f>IFERROR(VLOOKUP(B816,M10B!B:W,22,FALSE),0)</f>
        <v>0</v>
      </c>
      <c r="G816" s="12">
        <f t="shared" si="38"/>
        <v>0</v>
      </c>
      <c r="I816" s="17"/>
    </row>
    <row r="817" spans="1:9" x14ac:dyDescent="0.2">
      <c r="A817" s="12" t="s">
        <v>1687</v>
      </c>
      <c r="B817" s="12" t="s">
        <v>1714</v>
      </c>
      <c r="C817" s="12">
        <v>584323903</v>
      </c>
      <c r="D817" s="16" t="s">
        <v>1715</v>
      </c>
      <c r="E817" s="18">
        <v>81004033411</v>
      </c>
      <c r="F817" s="2">
        <f>IFERROR(VLOOKUP(B817,M10B!B:W,22,FALSE),0)</f>
        <v>0</v>
      </c>
      <c r="G817" s="12">
        <f t="shared" si="38"/>
        <v>0</v>
      </c>
      <c r="I817" s="17"/>
    </row>
    <row r="818" spans="1:9" x14ac:dyDescent="0.2">
      <c r="A818" s="12" t="s">
        <v>1687</v>
      </c>
      <c r="B818" s="12" t="s">
        <v>1704</v>
      </c>
      <c r="C818" s="12">
        <v>584323911</v>
      </c>
      <c r="D818" s="16" t="s">
        <v>1705</v>
      </c>
      <c r="E818" s="18">
        <v>81004033416</v>
      </c>
      <c r="F818" s="2">
        <f>IFERROR(VLOOKUP(B818,M10B!B:W,22,FALSE),0)</f>
        <v>0</v>
      </c>
      <c r="G818" s="12">
        <f>CEILING(F818,150)</f>
        <v>0</v>
      </c>
      <c r="I818" s="17"/>
    </row>
    <row r="819" spans="1:9" x14ac:dyDescent="0.2">
      <c r="A819" s="12" t="s">
        <v>1682</v>
      </c>
      <c r="B819" s="12" t="s">
        <v>1683</v>
      </c>
      <c r="C819" s="12">
        <v>580594313</v>
      </c>
      <c r="D819" s="16" t="s">
        <v>1684</v>
      </c>
      <c r="E819" s="18">
        <v>81000139379</v>
      </c>
      <c r="F819" s="2">
        <f>IFERROR(VLOOKUP(B819,M10B!B:W,22,FALSE),0)</f>
        <v>4430.3799999999992</v>
      </c>
      <c r="G819" s="12">
        <f>CEILING(F819,8)</f>
        <v>4432</v>
      </c>
      <c r="I819" s="17"/>
    </row>
    <row r="820" spans="1:9" x14ac:dyDescent="0.2">
      <c r="A820" s="12" t="s">
        <v>1679</v>
      </c>
      <c r="B820" s="12" t="s">
        <v>1680</v>
      </c>
      <c r="C820" s="12">
        <v>580594310</v>
      </c>
      <c r="D820" s="16" t="s">
        <v>1681</v>
      </c>
      <c r="E820" s="18">
        <v>81000139389</v>
      </c>
      <c r="F820" s="2">
        <f>IFERROR(VLOOKUP(B820,M10B!B:W,22,FALSE),0)</f>
        <v>3178.39</v>
      </c>
      <c r="G820" s="12">
        <f>CEILING(F820,32)</f>
        <v>3200</v>
      </c>
      <c r="I820" s="17"/>
    </row>
    <row r="821" spans="1:9" x14ac:dyDescent="0.2">
      <c r="A821" s="12" t="s">
        <v>1718</v>
      </c>
      <c r="B821" s="12" t="s">
        <v>1095</v>
      </c>
      <c r="C821" s="12">
        <v>581933044</v>
      </c>
      <c r="D821" s="16" t="s">
        <v>1096</v>
      </c>
      <c r="E821" s="18">
        <v>81004033138</v>
      </c>
      <c r="F821" s="2">
        <f>IFERROR(VLOOKUP(B821,M10B!B:W,22,FALSE),0)</f>
        <v>0</v>
      </c>
      <c r="G821" s="12">
        <f t="shared" ref="G821:G880" si="39">CEILING(F821,80)</f>
        <v>0</v>
      </c>
      <c r="I821" s="17"/>
    </row>
    <row r="822" spans="1:9" x14ac:dyDescent="0.2">
      <c r="A822" s="12" t="s">
        <v>1718</v>
      </c>
      <c r="B822" s="12" t="s">
        <v>1087</v>
      </c>
      <c r="C822" s="12">
        <v>581933053</v>
      </c>
      <c r="D822" s="16" t="s">
        <v>1088</v>
      </c>
      <c r="E822" s="18">
        <v>81004033139</v>
      </c>
      <c r="F822" s="2">
        <f>IFERROR(VLOOKUP(B822,M10B!B:W,22,FALSE),0)</f>
        <v>0</v>
      </c>
      <c r="G822" s="12">
        <f t="shared" si="39"/>
        <v>0</v>
      </c>
      <c r="I822" s="17"/>
    </row>
    <row r="823" spans="1:9" x14ac:dyDescent="0.2">
      <c r="A823" s="12" t="s">
        <v>1718</v>
      </c>
      <c r="B823" s="12" t="s">
        <v>1089</v>
      </c>
      <c r="C823" s="12">
        <v>581933038</v>
      </c>
      <c r="D823" s="16" t="s">
        <v>1090</v>
      </c>
      <c r="E823" s="18">
        <v>81004033135</v>
      </c>
      <c r="F823" s="2">
        <f>IFERROR(VLOOKUP(B823,M10B!B:W,22,FALSE),0)</f>
        <v>0</v>
      </c>
      <c r="G823" s="12">
        <f t="shared" si="39"/>
        <v>0</v>
      </c>
      <c r="I823" s="17"/>
    </row>
    <row r="824" spans="1:9" x14ac:dyDescent="0.2">
      <c r="A824" s="12" t="s">
        <v>1718</v>
      </c>
      <c r="B824" s="12" t="s">
        <v>1097</v>
      </c>
      <c r="C824" s="12">
        <v>581933051</v>
      </c>
      <c r="D824" s="16" t="s">
        <v>1098</v>
      </c>
      <c r="E824" s="18">
        <v>81004033140</v>
      </c>
      <c r="F824" s="2">
        <f>IFERROR(VLOOKUP(B824,M10B!B:W,22,FALSE),0)</f>
        <v>0</v>
      </c>
      <c r="G824" s="12">
        <f t="shared" si="39"/>
        <v>0</v>
      </c>
      <c r="I824" s="17"/>
    </row>
    <row r="825" spans="1:9" x14ac:dyDescent="0.2">
      <c r="A825" s="12" t="s">
        <v>1718</v>
      </c>
      <c r="B825" s="12" t="s">
        <v>1093</v>
      </c>
      <c r="C825" s="12">
        <v>581933041</v>
      </c>
      <c r="D825" s="16" t="s">
        <v>1094</v>
      </c>
      <c r="E825" s="18">
        <v>81004033137</v>
      </c>
      <c r="F825" s="2">
        <f>IFERROR(VLOOKUP(B825,M10B!B:W,22,FALSE),0)</f>
        <v>0</v>
      </c>
      <c r="G825" s="12">
        <f t="shared" si="39"/>
        <v>0</v>
      </c>
      <c r="I825" s="17"/>
    </row>
    <row r="826" spans="1:9" x14ac:dyDescent="0.2">
      <c r="A826" s="12" t="s">
        <v>1718</v>
      </c>
      <c r="B826" s="12" t="s">
        <v>1091</v>
      </c>
      <c r="C826" s="12">
        <v>581933050</v>
      </c>
      <c r="D826" s="16" t="s">
        <v>1092</v>
      </c>
      <c r="E826" s="18">
        <v>81004033136</v>
      </c>
      <c r="F826" s="2">
        <f>IFERROR(VLOOKUP(B826,M10B!B:W,22,FALSE),0)</f>
        <v>0</v>
      </c>
      <c r="G826" s="12">
        <f t="shared" si="39"/>
        <v>0</v>
      </c>
      <c r="I826" s="17"/>
    </row>
    <row r="827" spans="1:9" x14ac:dyDescent="0.2">
      <c r="A827" s="14" t="s">
        <v>1830</v>
      </c>
      <c r="B827" s="1" t="s">
        <v>1828</v>
      </c>
      <c r="C827" s="1">
        <v>587520115</v>
      </c>
      <c r="D827" s="2" t="s">
        <v>1829</v>
      </c>
      <c r="E827" s="14">
        <v>81004033420</v>
      </c>
      <c r="F827" s="2">
        <f>IFERROR(VLOOKUP(B827,M10B!B:W,22,FALSE),0)</f>
        <v>0</v>
      </c>
      <c r="G827" s="1">
        <f t="shared" si="39"/>
        <v>0</v>
      </c>
      <c r="I827" s="17"/>
    </row>
    <row r="828" spans="1:9" x14ac:dyDescent="0.2">
      <c r="A828" s="14" t="s">
        <v>1830</v>
      </c>
      <c r="B828" s="1" t="s">
        <v>1831</v>
      </c>
      <c r="C828" s="1">
        <v>587520104</v>
      </c>
      <c r="D828" s="2" t="s">
        <v>1832</v>
      </c>
      <c r="E828" s="14">
        <v>81004033421</v>
      </c>
      <c r="F828" s="2">
        <f>IFERROR(VLOOKUP(B828,M10B!B:W,22,FALSE),0)</f>
        <v>0</v>
      </c>
      <c r="G828" s="1">
        <f t="shared" si="39"/>
        <v>0</v>
      </c>
      <c r="I828" s="17"/>
    </row>
    <row r="829" spans="1:9" x14ac:dyDescent="0.2">
      <c r="A829" s="14" t="s">
        <v>1830</v>
      </c>
      <c r="B829" s="1" t="s">
        <v>1833</v>
      </c>
      <c r="C829" s="1">
        <v>587520177</v>
      </c>
      <c r="D829" s="2" t="s">
        <v>1834</v>
      </c>
      <c r="E829" s="14" t="s">
        <v>1934</v>
      </c>
      <c r="F829" s="2">
        <f>IFERROR(VLOOKUP(B829,M10B!B:W,22,FALSE),0)</f>
        <v>0</v>
      </c>
      <c r="G829" s="1">
        <f t="shared" si="39"/>
        <v>0</v>
      </c>
      <c r="I829" s="17"/>
    </row>
    <row r="830" spans="1:9" x14ac:dyDescent="0.2">
      <c r="A830" s="14" t="s">
        <v>1830</v>
      </c>
      <c r="B830" s="1" t="s">
        <v>1835</v>
      </c>
      <c r="C830" s="1">
        <v>587520174</v>
      </c>
      <c r="D830" s="2" t="s">
        <v>1836</v>
      </c>
      <c r="E830" s="14">
        <v>81004033507</v>
      </c>
      <c r="F830" s="2">
        <f>IFERROR(VLOOKUP(B830,M10B!B:W,22,FALSE),0)</f>
        <v>0</v>
      </c>
      <c r="G830" s="1">
        <f t="shared" si="39"/>
        <v>0</v>
      </c>
      <c r="I830" s="17"/>
    </row>
    <row r="831" spans="1:9" x14ac:dyDescent="0.2">
      <c r="A831" s="14" t="s">
        <v>1830</v>
      </c>
      <c r="B831" s="1" t="s">
        <v>1837</v>
      </c>
      <c r="C831" s="1">
        <v>587520106</v>
      </c>
      <c r="D831" s="2" t="s">
        <v>1838</v>
      </c>
      <c r="E831" s="14">
        <v>81004033422</v>
      </c>
      <c r="F831" s="2">
        <f>IFERROR(VLOOKUP(B831,M10B!B:W,22,FALSE),0)</f>
        <v>0</v>
      </c>
      <c r="G831" s="1">
        <f t="shared" si="39"/>
        <v>0</v>
      </c>
      <c r="I831" s="17"/>
    </row>
    <row r="832" spans="1:9" x14ac:dyDescent="0.2">
      <c r="A832" s="14" t="s">
        <v>1830</v>
      </c>
      <c r="B832" s="1" t="s">
        <v>1839</v>
      </c>
      <c r="C832" s="1">
        <v>587520176</v>
      </c>
      <c r="D832" s="2" t="s">
        <v>1840</v>
      </c>
      <c r="E832" s="14">
        <v>81004033508</v>
      </c>
      <c r="F832" s="2">
        <f>IFERROR(VLOOKUP(B832,M10B!B:W,22,FALSE),0)</f>
        <v>0</v>
      </c>
      <c r="G832" s="1">
        <f t="shared" si="39"/>
        <v>0</v>
      </c>
      <c r="I832" s="17"/>
    </row>
    <row r="833" spans="1:9" x14ac:dyDescent="0.2">
      <c r="A833" s="14" t="s">
        <v>1830</v>
      </c>
      <c r="B833" s="1" t="s">
        <v>1841</v>
      </c>
      <c r="C833" s="1">
        <v>587520110</v>
      </c>
      <c r="D833" s="2" t="s">
        <v>1842</v>
      </c>
      <c r="E833" s="14">
        <v>81004033423</v>
      </c>
      <c r="F833" s="2">
        <f>IFERROR(VLOOKUP(B833,M10B!B:W,22,FALSE),0)</f>
        <v>0</v>
      </c>
      <c r="G833" s="1">
        <f t="shared" si="39"/>
        <v>0</v>
      </c>
      <c r="I833" s="17"/>
    </row>
    <row r="834" spans="1:9" x14ac:dyDescent="0.2">
      <c r="A834" s="14" t="s">
        <v>1830</v>
      </c>
      <c r="B834" s="1" t="s">
        <v>1843</v>
      </c>
      <c r="C834" s="1">
        <v>587520109</v>
      </c>
      <c r="D834" s="2" t="s">
        <v>1844</v>
      </c>
      <c r="E834" s="14">
        <v>81004033424</v>
      </c>
      <c r="F834" s="2">
        <f>IFERROR(VLOOKUP(B834,M10B!B:W,22,FALSE),0)</f>
        <v>0</v>
      </c>
      <c r="G834" s="1">
        <f t="shared" si="39"/>
        <v>0</v>
      </c>
      <c r="I834" s="17"/>
    </row>
    <row r="835" spans="1:9" x14ac:dyDescent="0.2">
      <c r="A835" s="14" t="s">
        <v>1830</v>
      </c>
      <c r="B835" s="1" t="s">
        <v>1845</v>
      </c>
      <c r="C835" s="1">
        <v>587520105</v>
      </c>
      <c r="D835" s="2" t="s">
        <v>1846</v>
      </c>
      <c r="E835" s="14">
        <v>81004033425</v>
      </c>
      <c r="F835" s="2">
        <f>IFERROR(VLOOKUP(B835,M10B!B:W,22,FALSE),0)</f>
        <v>0</v>
      </c>
      <c r="G835" s="1">
        <f t="shared" si="39"/>
        <v>0</v>
      </c>
      <c r="I835" s="17"/>
    </row>
    <row r="836" spans="1:9" x14ac:dyDescent="0.2">
      <c r="A836" s="14" t="s">
        <v>1830</v>
      </c>
      <c r="B836" s="1" t="s">
        <v>1847</v>
      </c>
      <c r="C836" s="1">
        <v>587520111</v>
      </c>
      <c r="D836" s="2" t="s">
        <v>1848</v>
      </c>
      <c r="E836" s="14">
        <v>81004033426</v>
      </c>
      <c r="F836" s="2">
        <f>IFERROR(VLOOKUP(B836,M10B!B:W,22,FALSE),0)</f>
        <v>0</v>
      </c>
      <c r="G836" s="1">
        <f t="shared" si="39"/>
        <v>0</v>
      </c>
      <c r="I836" s="17"/>
    </row>
    <row r="837" spans="1:9" x14ac:dyDescent="0.2">
      <c r="A837" s="14" t="s">
        <v>1830</v>
      </c>
      <c r="B837" s="1" t="s">
        <v>1849</v>
      </c>
      <c r="C837" s="1">
        <v>587520108</v>
      </c>
      <c r="D837" s="2" t="s">
        <v>1850</v>
      </c>
      <c r="E837" s="14">
        <v>81004033427</v>
      </c>
      <c r="F837" s="2">
        <f>IFERROR(VLOOKUP(B837,M10B!B:W,22,FALSE),0)</f>
        <v>0</v>
      </c>
      <c r="G837" s="1">
        <f t="shared" si="39"/>
        <v>0</v>
      </c>
      <c r="I837" s="17"/>
    </row>
    <row r="838" spans="1:9" x14ac:dyDescent="0.2">
      <c r="A838" s="14" t="s">
        <v>1830</v>
      </c>
      <c r="B838" s="1" t="s">
        <v>1851</v>
      </c>
      <c r="C838" s="1">
        <v>587520112</v>
      </c>
      <c r="D838" s="2" t="s">
        <v>1852</v>
      </c>
      <c r="E838" s="14">
        <v>81004033428</v>
      </c>
      <c r="F838" s="2">
        <f>IFERROR(VLOOKUP(B838,M10B!B:W,22,FALSE),0)</f>
        <v>0</v>
      </c>
      <c r="G838" s="1">
        <f t="shared" si="39"/>
        <v>0</v>
      </c>
      <c r="I838" s="17"/>
    </row>
    <row r="839" spans="1:9" x14ac:dyDescent="0.2">
      <c r="A839" s="14" t="s">
        <v>1830</v>
      </c>
      <c r="B839" s="1" t="s">
        <v>1853</v>
      </c>
      <c r="C839" s="1">
        <v>587520107</v>
      </c>
      <c r="D839" s="2" t="s">
        <v>1854</v>
      </c>
      <c r="E839" s="14">
        <v>81004033429</v>
      </c>
      <c r="F839" s="2">
        <f>IFERROR(VLOOKUP(B839,M10B!B:W,22,FALSE),0)</f>
        <v>0</v>
      </c>
      <c r="G839" s="1">
        <f t="shared" si="39"/>
        <v>0</v>
      </c>
      <c r="I839" s="17"/>
    </row>
    <row r="840" spans="1:9" x14ac:dyDescent="0.2">
      <c r="A840" s="14" t="s">
        <v>1830</v>
      </c>
      <c r="B840" s="1" t="s">
        <v>1855</v>
      </c>
      <c r="C840" s="1">
        <v>587520113</v>
      </c>
      <c r="D840" s="2" t="s">
        <v>1856</v>
      </c>
      <c r="E840" s="14">
        <v>81004033430</v>
      </c>
      <c r="F840" s="2">
        <f>IFERROR(VLOOKUP(B840,M10B!B:W,22,FALSE),0)</f>
        <v>0</v>
      </c>
      <c r="G840" s="1">
        <f t="shared" si="39"/>
        <v>0</v>
      </c>
      <c r="I840" s="17"/>
    </row>
    <row r="841" spans="1:9" x14ac:dyDescent="0.2">
      <c r="A841" s="14" t="s">
        <v>1830</v>
      </c>
      <c r="B841" s="1" t="s">
        <v>1857</v>
      </c>
      <c r="C841" s="1">
        <v>587520114</v>
      </c>
      <c r="D841" s="2" t="s">
        <v>1858</v>
      </c>
      <c r="E841" s="14">
        <v>81004033431</v>
      </c>
      <c r="F841" s="2">
        <f>IFERROR(VLOOKUP(B841,M10B!B:W,22,FALSE),0)</f>
        <v>0</v>
      </c>
      <c r="G841" s="1">
        <f t="shared" si="39"/>
        <v>0</v>
      </c>
      <c r="I841" s="17"/>
    </row>
    <row r="842" spans="1:9" x14ac:dyDescent="0.2">
      <c r="A842" s="14" t="s">
        <v>1830</v>
      </c>
      <c r="B842" s="1" t="s">
        <v>1859</v>
      </c>
      <c r="C842" s="1">
        <v>587520118</v>
      </c>
      <c r="D842" s="2" t="s">
        <v>1860</v>
      </c>
      <c r="E842" s="14">
        <v>81004033432</v>
      </c>
      <c r="F842" s="2">
        <f>IFERROR(VLOOKUP(B842,M10B!B:W,22,FALSE),0)</f>
        <v>0</v>
      </c>
      <c r="G842" s="1">
        <f t="shared" si="39"/>
        <v>0</v>
      </c>
      <c r="I842" s="17"/>
    </row>
    <row r="843" spans="1:9" x14ac:dyDescent="0.2">
      <c r="A843" s="14" t="s">
        <v>1830</v>
      </c>
      <c r="B843" s="1" t="s">
        <v>1861</v>
      </c>
      <c r="C843" s="1">
        <v>587520120</v>
      </c>
      <c r="D843" s="2" t="s">
        <v>1862</v>
      </c>
      <c r="E843" s="14">
        <v>81004033433</v>
      </c>
      <c r="F843" s="2">
        <f>IFERROR(VLOOKUP(B843,M10B!B:W,22,FALSE),0)</f>
        <v>0</v>
      </c>
      <c r="G843" s="1">
        <f t="shared" si="39"/>
        <v>0</v>
      </c>
      <c r="I843" s="17"/>
    </row>
    <row r="844" spans="1:9" x14ac:dyDescent="0.2">
      <c r="A844" s="14" t="s">
        <v>1830</v>
      </c>
      <c r="B844" s="1" t="s">
        <v>1863</v>
      </c>
      <c r="C844" s="1">
        <v>587520117</v>
      </c>
      <c r="D844" s="2" t="s">
        <v>1864</v>
      </c>
      <c r="E844" s="14">
        <v>81004033434</v>
      </c>
      <c r="F844" s="2">
        <f>IFERROR(VLOOKUP(B844,M10B!B:W,22,FALSE),0)</f>
        <v>0</v>
      </c>
      <c r="G844" s="1">
        <f t="shared" si="39"/>
        <v>0</v>
      </c>
      <c r="I844" s="17"/>
    </row>
    <row r="845" spans="1:9" x14ac:dyDescent="0.2">
      <c r="A845" s="14" t="s">
        <v>1830</v>
      </c>
      <c r="B845" s="1" t="s">
        <v>1865</v>
      </c>
      <c r="C845" s="1">
        <v>587520116</v>
      </c>
      <c r="D845" s="2" t="s">
        <v>1866</v>
      </c>
      <c r="E845" s="14">
        <v>81004033435</v>
      </c>
      <c r="F845" s="2">
        <f>IFERROR(VLOOKUP(B845,M10B!B:W,22,FALSE),0)</f>
        <v>0</v>
      </c>
      <c r="G845" s="1">
        <f t="shared" si="39"/>
        <v>0</v>
      </c>
      <c r="I845" s="17"/>
    </row>
    <row r="846" spans="1:9" x14ac:dyDescent="0.2">
      <c r="A846" s="14" t="s">
        <v>1830</v>
      </c>
      <c r="B846" s="1" t="s">
        <v>1867</v>
      </c>
      <c r="C846" s="1">
        <v>587520119</v>
      </c>
      <c r="D846" s="2" t="s">
        <v>1868</v>
      </c>
      <c r="E846" s="14">
        <v>81004033450</v>
      </c>
      <c r="F846" s="2">
        <f>IFERROR(VLOOKUP(B846,M10B!B:W,22,FALSE),0)</f>
        <v>0</v>
      </c>
      <c r="G846" s="1">
        <f t="shared" si="39"/>
        <v>0</v>
      </c>
      <c r="I846" s="17"/>
    </row>
    <row r="847" spans="1:9" x14ac:dyDescent="0.2">
      <c r="A847" s="14" t="s">
        <v>1830</v>
      </c>
      <c r="B847" s="1" t="s">
        <v>1869</v>
      </c>
      <c r="C847" s="1">
        <v>587520121</v>
      </c>
      <c r="D847" s="2" t="s">
        <v>1852</v>
      </c>
      <c r="E847" s="14">
        <v>81004033451</v>
      </c>
      <c r="F847" s="2">
        <f>IFERROR(VLOOKUP(B847,M10B!B:W,22,FALSE),0)</f>
        <v>0</v>
      </c>
      <c r="G847" s="1">
        <f t="shared" si="39"/>
        <v>0</v>
      </c>
      <c r="I847" s="17"/>
    </row>
    <row r="848" spans="1:9" x14ac:dyDescent="0.2">
      <c r="A848" s="14" t="s">
        <v>1830</v>
      </c>
      <c r="B848" s="1" t="s">
        <v>1870</v>
      </c>
      <c r="C848" s="1">
        <v>587520238</v>
      </c>
      <c r="D848" s="2" t="s">
        <v>1871</v>
      </c>
      <c r="E848" s="14">
        <v>81004033452</v>
      </c>
      <c r="F848" s="2">
        <f>IFERROR(VLOOKUP(B848,M10B!B:W,22,FALSE),0)</f>
        <v>0</v>
      </c>
      <c r="G848" s="1">
        <f t="shared" si="39"/>
        <v>0</v>
      </c>
      <c r="I848" s="17"/>
    </row>
    <row r="849" spans="1:9" x14ac:dyDescent="0.2">
      <c r="A849" s="14" t="s">
        <v>1830</v>
      </c>
      <c r="B849" s="1" t="s">
        <v>1872</v>
      </c>
      <c r="C849" s="1">
        <v>587520124</v>
      </c>
      <c r="D849" s="2" t="s">
        <v>1873</v>
      </c>
      <c r="E849" s="14">
        <v>81004033453</v>
      </c>
      <c r="F849" s="2">
        <f>IFERROR(VLOOKUP(B849,M10B!B:W,22,FALSE),0)</f>
        <v>0</v>
      </c>
      <c r="G849" s="1">
        <f t="shared" si="39"/>
        <v>0</v>
      </c>
      <c r="I849" s="17"/>
    </row>
    <row r="850" spans="1:9" x14ac:dyDescent="0.2">
      <c r="A850" s="14" t="s">
        <v>1830</v>
      </c>
      <c r="B850" s="1" t="s">
        <v>1874</v>
      </c>
      <c r="C850" s="1">
        <v>587520122</v>
      </c>
      <c r="D850" s="2" t="s">
        <v>1875</v>
      </c>
      <c r="E850" s="14">
        <v>81004033454</v>
      </c>
      <c r="F850" s="2">
        <f>IFERROR(VLOOKUP(B850,M10B!B:W,22,FALSE),0)</f>
        <v>0</v>
      </c>
      <c r="G850" s="1">
        <f t="shared" si="39"/>
        <v>0</v>
      </c>
      <c r="I850" s="17"/>
    </row>
    <row r="851" spans="1:9" x14ac:dyDescent="0.2">
      <c r="A851" s="14" t="s">
        <v>1830</v>
      </c>
      <c r="B851" s="1" t="s">
        <v>1876</v>
      </c>
      <c r="C851" s="1">
        <v>587520125</v>
      </c>
      <c r="D851" s="2" t="s">
        <v>1877</v>
      </c>
      <c r="E851" s="14">
        <v>81004033455</v>
      </c>
      <c r="F851" s="2">
        <f>IFERROR(VLOOKUP(B851,M10B!B:W,22,FALSE),0)</f>
        <v>0</v>
      </c>
      <c r="G851" s="1">
        <f t="shared" si="39"/>
        <v>0</v>
      </c>
      <c r="I851" s="17"/>
    </row>
    <row r="852" spans="1:9" x14ac:dyDescent="0.2">
      <c r="A852" s="14" t="s">
        <v>1830</v>
      </c>
      <c r="B852" s="1" t="s">
        <v>1878</v>
      </c>
      <c r="C852" s="1">
        <v>587520123</v>
      </c>
      <c r="D852" s="2" t="s">
        <v>1879</v>
      </c>
      <c r="E852" s="14">
        <v>81004033456</v>
      </c>
      <c r="F852" s="2">
        <f>IFERROR(VLOOKUP(B852,M10B!B:W,22,FALSE),0)</f>
        <v>0</v>
      </c>
      <c r="G852" s="1">
        <f t="shared" si="39"/>
        <v>0</v>
      </c>
      <c r="I852" s="17"/>
    </row>
    <row r="853" spans="1:9" x14ac:dyDescent="0.2">
      <c r="A853" s="14" t="s">
        <v>1830</v>
      </c>
      <c r="B853" s="1" t="s">
        <v>1880</v>
      </c>
      <c r="C853" s="1">
        <v>587520132</v>
      </c>
      <c r="D853" s="2" t="s">
        <v>1852</v>
      </c>
      <c r="E853" s="14">
        <v>81004033457</v>
      </c>
      <c r="F853" s="2">
        <f>IFERROR(VLOOKUP(B853,M10B!B:W,22,FALSE),0)</f>
        <v>0</v>
      </c>
      <c r="G853" s="1">
        <f t="shared" si="39"/>
        <v>0</v>
      </c>
      <c r="I853" s="17"/>
    </row>
    <row r="854" spans="1:9" x14ac:dyDescent="0.2">
      <c r="A854" s="14" t="s">
        <v>1830</v>
      </c>
      <c r="B854" s="1" t="s">
        <v>1881</v>
      </c>
      <c r="C854" s="1">
        <v>587520126</v>
      </c>
      <c r="D854" s="2" t="s">
        <v>1852</v>
      </c>
      <c r="E854" s="14">
        <v>81004033458</v>
      </c>
      <c r="F854" s="2">
        <f>IFERROR(VLOOKUP(B854,M10B!B:W,22,FALSE),0)</f>
        <v>0</v>
      </c>
      <c r="G854" s="1">
        <f t="shared" si="39"/>
        <v>0</v>
      </c>
      <c r="I854" s="17"/>
    </row>
    <row r="855" spans="1:9" x14ac:dyDescent="0.2">
      <c r="A855" s="14" t="s">
        <v>1830</v>
      </c>
      <c r="B855" s="1" t="s">
        <v>1882</v>
      </c>
      <c r="C855" s="1">
        <v>587520127</v>
      </c>
      <c r="D855" s="2" t="s">
        <v>1883</v>
      </c>
      <c r="E855" s="14">
        <v>81004033459</v>
      </c>
      <c r="F855" s="2">
        <f>IFERROR(VLOOKUP(B855,M10B!B:W,22,FALSE),0)</f>
        <v>0</v>
      </c>
      <c r="G855" s="1">
        <f t="shared" si="39"/>
        <v>0</v>
      </c>
      <c r="I855" s="17"/>
    </row>
    <row r="856" spans="1:9" x14ac:dyDescent="0.2">
      <c r="A856" s="14" t="s">
        <v>1830</v>
      </c>
      <c r="B856" s="1" t="s">
        <v>1884</v>
      </c>
      <c r="C856" s="1">
        <v>587520129</v>
      </c>
      <c r="D856" s="2" t="s">
        <v>1885</v>
      </c>
      <c r="E856" s="14">
        <v>81004033460</v>
      </c>
      <c r="F856" s="2">
        <f>IFERROR(VLOOKUP(B856,M10B!B:W,22,FALSE),0)</f>
        <v>0</v>
      </c>
      <c r="G856" s="1">
        <f t="shared" si="39"/>
        <v>0</v>
      </c>
      <c r="I856" s="17"/>
    </row>
    <row r="857" spans="1:9" x14ac:dyDescent="0.2">
      <c r="A857" s="14" t="s">
        <v>1830</v>
      </c>
      <c r="B857" s="1" t="s">
        <v>1886</v>
      </c>
      <c r="C857" s="1">
        <v>587520128</v>
      </c>
      <c r="D857" s="2" t="s">
        <v>1887</v>
      </c>
      <c r="E857" s="14">
        <v>81004033461</v>
      </c>
      <c r="F857" s="2">
        <f>IFERROR(VLOOKUP(B857,M10B!B:W,22,FALSE),0)</f>
        <v>0</v>
      </c>
      <c r="G857" s="1">
        <f t="shared" si="39"/>
        <v>0</v>
      </c>
      <c r="I857" s="17"/>
    </row>
    <row r="858" spans="1:9" x14ac:dyDescent="0.2">
      <c r="A858" s="14" t="s">
        <v>1830</v>
      </c>
      <c r="B858" s="1" t="s">
        <v>1888</v>
      </c>
      <c r="C858" s="1">
        <v>587520133</v>
      </c>
      <c r="D858" s="2" t="s">
        <v>1889</v>
      </c>
      <c r="E858" s="14">
        <v>81004033462</v>
      </c>
      <c r="F858" s="2">
        <f>IFERROR(VLOOKUP(B858,M10B!B:W,22,FALSE),0)</f>
        <v>0</v>
      </c>
      <c r="G858" s="1">
        <f t="shared" si="39"/>
        <v>0</v>
      </c>
      <c r="I858" s="17"/>
    </row>
    <row r="859" spans="1:9" x14ac:dyDescent="0.2">
      <c r="A859" s="14" t="s">
        <v>1830</v>
      </c>
      <c r="B859" s="1" t="s">
        <v>1890</v>
      </c>
      <c r="C859" s="1">
        <v>587520131</v>
      </c>
      <c r="D859" s="2" t="s">
        <v>1891</v>
      </c>
      <c r="E859" s="14">
        <v>81004033463</v>
      </c>
      <c r="F859" s="2">
        <f>IFERROR(VLOOKUP(B859,M10B!B:W,22,FALSE),0)</f>
        <v>0</v>
      </c>
      <c r="G859" s="1">
        <f t="shared" si="39"/>
        <v>0</v>
      </c>
      <c r="I859" s="17"/>
    </row>
    <row r="860" spans="1:9" x14ac:dyDescent="0.2">
      <c r="A860" s="14" t="s">
        <v>1830</v>
      </c>
      <c r="B860" s="1" t="s">
        <v>1892</v>
      </c>
      <c r="C860" s="1">
        <v>587520138</v>
      </c>
      <c r="D860" s="2" t="s">
        <v>1893</v>
      </c>
      <c r="E860" s="14">
        <v>81004033464</v>
      </c>
      <c r="F860" s="2">
        <f>IFERROR(VLOOKUP(B860,M10B!B:W,22,FALSE),0)</f>
        <v>0</v>
      </c>
      <c r="G860" s="1">
        <f t="shared" si="39"/>
        <v>0</v>
      </c>
      <c r="I860" s="17"/>
    </row>
    <row r="861" spans="1:9" x14ac:dyDescent="0.2">
      <c r="A861" s="14" t="s">
        <v>1830</v>
      </c>
      <c r="B861" s="1" t="s">
        <v>1894</v>
      </c>
      <c r="C861" s="1">
        <v>587520130</v>
      </c>
      <c r="D861" s="2" t="s">
        <v>1864</v>
      </c>
      <c r="E861" s="14">
        <v>81004033465</v>
      </c>
      <c r="F861" s="2">
        <f>IFERROR(VLOOKUP(B861,M10B!B:W,22,FALSE),0)</f>
        <v>0</v>
      </c>
      <c r="G861" s="1">
        <f t="shared" si="39"/>
        <v>0</v>
      </c>
      <c r="I861" s="17"/>
    </row>
    <row r="862" spans="1:9" x14ac:dyDescent="0.2">
      <c r="A862" s="14" t="s">
        <v>1830</v>
      </c>
      <c r="B862" s="1" t="s">
        <v>1895</v>
      </c>
      <c r="C862" s="1">
        <v>587520137</v>
      </c>
      <c r="D862" s="2" t="s">
        <v>1896</v>
      </c>
      <c r="E862" s="14">
        <v>81004033466</v>
      </c>
      <c r="F862" s="2">
        <f>IFERROR(VLOOKUP(B862,M10B!B:W,22,FALSE),0)</f>
        <v>0</v>
      </c>
      <c r="G862" s="1">
        <f t="shared" si="39"/>
        <v>0</v>
      </c>
      <c r="I862" s="17"/>
    </row>
    <row r="863" spans="1:9" x14ac:dyDescent="0.2">
      <c r="A863" s="14" t="s">
        <v>1830</v>
      </c>
      <c r="B863" s="1" t="s">
        <v>1897</v>
      </c>
      <c r="C863" s="1">
        <v>587520134</v>
      </c>
      <c r="D863" s="2" t="s">
        <v>1898</v>
      </c>
      <c r="E863" s="14">
        <v>81004033467</v>
      </c>
      <c r="F863" s="2">
        <f>IFERROR(VLOOKUP(B863,M10B!B:W,22,FALSE),0)</f>
        <v>0</v>
      </c>
      <c r="G863" s="1">
        <f t="shared" si="39"/>
        <v>0</v>
      </c>
      <c r="I863" s="17"/>
    </row>
    <row r="864" spans="1:9" x14ac:dyDescent="0.2">
      <c r="A864" s="14" t="s">
        <v>1830</v>
      </c>
      <c r="B864" s="1" t="s">
        <v>1899</v>
      </c>
      <c r="C864" s="1">
        <v>587520135</v>
      </c>
      <c r="D864" s="2" t="s">
        <v>1900</v>
      </c>
      <c r="E864" s="14">
        <v>81004033468</v>
      </c>
      <c r="F864" s="2">
        <f>IFERROR(VLOOKUP(B864,M10B!B:W,22,FALSE),0)</f>
        <v>0</v>
      </c>
      <c r="G864" s="1">
        <f t="shared" si="39"/>
        <v>0</v>
      </c>
      <c r="I864" s="17"/>
    </row>
    <row r="865" spans="1:9" x14ac:dyDescent="0.2">
      <c r="A865" s="14" t="s">
        <v>1830</v>
      </c>
      <c r="B865" s="1" t="s">
        <v>1901</v>
      </c>
      <c r="C865" s="1">
        <v>587520136</v>
      </c>
      <c r="D865" s="2" t="s">
        <v>1902</v>
      </c>
      <c r="E865" s="14">
        <v>81004033469</v>
      </c>
      <c r="F865" s="2">
        <f>IFERROR(VLOOKUP(B865,M10B!B:W,22,FALSE),0)</f>
        <v>0</v>
      </c>
      <c r="G865" s="1">
        <f t="shared" si="39"/>
        <v>0</v>
      </c>
      <c r="I865" s="17"/>
    </row>
    <row r="866" spans="1:9" x14ac:dyDescent="0.2">
      <c r="A866" s="14" t="s">
        <v>1830</v>
      </c>
      <c r="B866" s="1" t="s">
        <v>1903</v>
      </c>
      <c r="C866" s="1">
        <v>587520148</v>
      </c>
      <c r="D866" s="2" t="s">
        <v>1904</v>
      </c>
      <c r="E866" s="14">
        <v>81004033470</v>
      </c>
      <c r="F866" s="2">
        <f>IFERROR(VLOOKUP(B866,M10B!B:W,22,FALSE),0)</f>
        <v>0</v>
      </c>
      <c r="G866" s="1">
        <f t="shared" si="39"/>
        <v>0</v>
      </c>
      <c r="I866" s="17"/>
    </row>
    <row r="867" spans="1:9" x14ac:dyDescent="0.2">
      <c r="A867" s="14" t="s">
        <v>1830</v>
      </c>
      <c r="B867" s="1" t="s">
        <v>1905</v>
      </c>
      <c r="C867" s="1">
        <v>587520142</v>
      </c>
      <c r="D867" s="2" t="s">
        <v>1906</v>
      </c>
      <c r="E867" s="14">
        <v>81004033471</v>
      </c>
      <c r="F867" s="2">
        <f>IFERROR(VLOOKUP(B867,M10B!B:W,22,FALSE),0)</f>
        <v>0</v>
      </c>
      <c r="G867" s="1">
        <f t="shared" si="39"/>
        <v>0</v>
      </c>
      <c r="I867" s="17"/>
    </row>
    <row r="868" spans="1:9" x14ac:dyDescent="0.2">
      <c r="A868" s="14" t="s">
        <v>1830</v>
      </c>
      <c r="B868" s="1" t="s">
        <v>1907</v>
      </c>
      <c r="C868" s="1">
        <v>587520149</v>
      </c>
      <c r="D868" s="2" t="s">
        <v>1908</v>
      </c>
      <c r="E868" s="14">
        <v>81004033472</v>
      </c>
      <c r="F868" s="2">
        <f>IFERROR(VLOOKUP(B868,M10B!B:W,22,FALSE),0)</f>
        <v>0</v>
      </c>
      <c r="G868" s="1">
        <f t="shared" si="39"/>
        <v>0</v>
      </c>
      <c r="I868" s="17"/>
    </row>
    <row r="869" spans="1:9" x14ac:dyDescent="0.2">
      <c r="A869" s="14" t="s">
        <v>1830</v>
      </c>
      <c r="B869" s="1" t="s">
        <v>1909</v>
      </c>
      <c r="C869" s="1">
        <v>587520139</v>
      </c>
      <c r="D869" s="2" t="s">
        <v>1910</v>
      </c>
      <c r="E869" s="14">
        <v>81004033473</v>
      </c>
      <c r="F869" s="2">
        <f>IFERROR(VLOOKUP(B869,M10B!B:W,22,FALSE),0)</f>
        <v>0</v>
      </c>
      <c r="G869" s="1">
        <f t="shared" si="39"/>
        <v>0</v>
      </c>
      <c r="I869" s="17"/>
    </row>
    <row r="870" spans="1:9" x14ac:dyDescent="0.2">
      <c r="A870" s="14" t="s">
        <v>1830</v>
      </c>
      <c r="B870" s="1" t="s">
        <v>1911</v>
      </c>
      <c r="C870" s="1">
        <v>587520144</v>
      </c>
      <c r="D870" s="2" t="s">
        <v>1912</v>
      </c>
      <c r="E870" s="14">
        <v>81004033474</v>
      </c>
      <c r="F870" s="2">
        <f>IFERROR(VLOOKUP(B870,M10B!B:W,22,FALSE),0)</f>
        <v>0</v>
      </c>
      <c r="G870" s="1">
        <f t="shared" si="39"/>
        <v>0</v>
      </c>
      <c r="I870" s="17"/>
    </row>
    <row r="871" spans="1:9" x14ac:dyDescent="0.2">
      <c r="A871" s="14" t="s">
        <v>1830</v>
      </c>
      <c r="B871" s="1" t="s">
        <v>1913</v>
      </c>
      <c r="C871" s="1">
        <v>587520163</v>
      </c>
      <c r="D871" s="2" t="s">
        <v>1914</v>
      </c>
      <c r="E871" s="14">
        <v>81004033475</v>
      </c>
      <c r="F871" s="2">
        <f>IFERROR(VLOOKUP(B871,M10B!B:W,22,FALSE),0)</f>
        <v>0</v>
      </c>
      <c r="G871" s="1">
        <f t="shared" si="39"/>
        <v>0</v>
      </c>
      <c r="I871" s="17"/>
    </row>
    <row r="872" spans="1:9" x14ac:dyDescent="0.2">
      <c r="A872" s="14" t="s">
        <v>1830</v>
      </c>
      <c r="B872" s="1" t="s">
        <v>1915</v>
      </c>
      <c r="C872" s="1">
        <v>587520150</v>
      </c>
      <c r="D872" s="2" t="s">
        <v>1916</v>
      </c>
      <c r="E872" s="14">
        <v>81004033476</v>
      </c>
      <c r="F872" s="2">
        <f>IFERROR(VLOOKUP(B872,M10B!B:W,22,FALSE),0)</f>
        <v>0</v>
      </c>
      <c r="G872" s="1">
        <f t="shared" si="39"/>
        <v>0</v>
      </c>
      <c r="I872" s="17"/>
    </row>
    <row r="873" spans="1:9" x14ac:dyDescent="0.2">
      <c r="A873" s="14" t="s">
        <v>1830</v>
      </c>
      <c r="B873" s="1" t="s">
        <v>1917</v>
      </c>
      <c r="C873" s="1">
        <v>587520140</v>
      </c>
      <c r="D873" s="2" t="s">
        <v>1918</v>
      </c>
      <c r="E873" s="14">
        <v>81004033477</v>
      </c>
      <c r="F873" s="2">
        <f>IFERROR(VLOOKUP(B873,M10B!B:W,22,FALSE),0)</f>
        <v>0</v>
      </c>
      <c r="G873" s="1">
        <f t="shared" si="39"/>
        <v>0</v>
      </c>
      <c r="I873" s="17"/>
    </row>
    <row r="874" spans="1:9" x14ac:dyDescent="0.2">
      <c r="A874" s="14" t="s">
        <v>1830</v>
      </c>
      <c r="B874" s="1" t="s">
        <v>1919</v>
      </c>
      <c r="C874" s="1">
        <v>587520151</v>
      </c>
      <c r="D874" s="2" t="s">
        <v>1920</v>
      </c>
      <c r="E874" s="14">
        <v>81004033478</v>
      </c>
      <c r="F874" s="2">
        <f>IFERROR(VLOOKUP(B874,M10B!B:W,22,FALSE),0)</f>
        <v>0</v>
      </c>
      <c r="G874" s="1">
        <f t="shared" si="39"/>
        <v>0</v>
      </c>
      <c r="I874" s="17"/>
    </row>
    <row r="875" spans="1:9" x14ac:dyDescent="0.2">
      <c r="A875" s="14" t="s">
        <v>1830</v>
      </c>
      <c r="B875" s="1" t="s">
        <v>1921</v>
      </c>
      <c r="C875" s="1">
        <v>587520241</v>
      </c>
      <c r="D875" s="2" t="s">
        <v>1922</v>
      </c>
      <c r="E875" s="14">
        <v>81004033479</v>
      </c>
      <c r="F875" s="2">
        <f>IFERROR(VLOOKUP(B875,M10B!B:W,22,FALSE),0)</f>
        <v>0</v>
      </c>
      <c r="G875" s="1">
        <f t="shared" si="39"/>
        <v>0</v>
      </c>
      <c r="I875" s="17"/>
    </row>
    <row r="876" spans="1:9" x14ac:dyDescent="0.2">
      <c r="A876" s="14" t="s">
        <v>1830</v>
      </c>
      <c r="B876" s="1" t="s">
        <v>1923</v>
      </c>
      <c r="C876" s="1">
        <v>587520146</v>
      </c>
      <c r="D876" s="2" t="s">
        <v>1924</v>
      </c>
      <c r="E876" s="14">
        <v>81004033480</v>
      </c>
      <c r="F876" s="2">
        <f>IFERROR(VLOOKUP(B876,M10B!B:W,22,FALSE),0)</f>
        <v>0</v>
      </c>
      <c r="G876" s="1">
        <f t="shared" si="39"/>
        <v>0</v>
      </c>
      <c r="I876" s="17"/>
    </row>
    <row r="877" spans="1:9" x14ac:dyDescent="0.2">
      <c r="A877" s="14" t="s">
        <v>1830</v>
      </c>
      <c r="B877" s="1" t="s">
        <v>1925</v>
      </c>
      <c r="C877" s="1">
        <v>587520152</v>
      </c>
      <c r="D877" s="2" t="s">
        <v>1926</v>
      </c>
      <c r="E877" s="14">
        <v>81004033481</v>
      </c>
      <c r="F877" s="2">
        <f>IFERROR(VLOOKUP(B877,M10B!B:W,22,FALSE),0)</f>
        <v>0</v>
      </c>
      <c r="G877" s="1">
        <f t="shared" si="39"/>
        <v>0</v>
      </c>
      <c r="I877" s="17"/>
    </row>
    <row r="878" spans="1:9" x14ac:dyDescent="0.2">
      <c r="A878" s="14" t="s">
        <v>1830</v>
      </c>
      <c r="B878" s="1" t="s">
        <v>1927</v>
      </c>
      <c r="C878" s="1">
        <v>587575338</v>
      </c>
      <c r="D878" s="2" t="s">
        <v>1928</v>
      </c>
      <c r="E878" s="14">
        <v>81004033269</v>
      </c>
      <c r="F878" s="2">
        <f>IFERROR(VLOOKUP(B878,M10B!B:W,22,FALSE),0)</f>
        <v>0</v>
      </c>
      <c r="G878" s="1">
        <f t="shared" si="39"/>
        <v>0</v>
      </c>
      <c r="I878" s="17"/>
    </row>
    <row r="879" spans="1:9" x14ac:dyDescent="0.2">
      <c r="A879" s="14" t="s">
        <v>1830</v>
      </c>
      <c r="B879" s="1" t="s">
        <v>1929</v>
      </c>
      <c r="C879" s="1">
        <v>587575885</v>
      </c>
      <c r="D879" s="2" t="s">
        <v>1930</v>
      </c>
      <c r="E879" s="14">
        <v>81004033275</v>
      </c>
      <c r="F879" s="2">
        <f>IFERROR(VLOOKUP(B879,M10B!B:W,22,FALSE),0)</f>
        <v>0</v>
      </c>
      <c r="G879" s="1">
        <f t="shared" si="39"/>
        <v>0</v>
      </c>
      <c r="I879" s="17"/>
    </row>
    <row r="880" spans="1:9" x14ac:dyDescent="0.2">
      <c r="A880" s="14" t="s">
        <v>1830</v>
      </c>
      <c r="B880" s="1" t="s">
        <v>1931</v>
      </c>
      <c r="C880" s="1">
        <v>587575530</v>
      </c>
      <c r="D880" s="2" t="s">
        <v>1932</v>
      </c>
      <c r="E880" s="14">
        <v>81004033267</v>
      </c>
      <c r="F880" s="2">
        <f>IFERROR(VLOOKUP(B880,M10B!B:W,22,FALSE),0)</f>
        <v>0</v>
      </c>
      <c r="G880" s="1">
        <f t="shared" si="39"/>
        <v>0</v>
      </c>
      <c r="I880" s="17"/>
    </row>
    <row r="881" spans="1:9" x14ac:dyDescent="0.2">
      <c r="A881" s="14" t="s">
        <v>1827</v>
      </c>
      <c r="B881" s="1" t="s">
        <v>1936</v>
      </c>
      <c r="C881" s="1">
        <v>596528959</v>
      </c>
      <c r="D881" s="2" t="s">
        <v>1826</v>
      </c>
      <c r="E881" s="10">
        <v>81004033509</v>
      </c>
      <c r="F881" s="2">
        <f>IFERROR(VLOOKUP(B881,M10B!B:W,22,FALSE),0)</f>
        <v>0</v>
      </c>
      <c r="G881" s="1">
        <f t="shared" ref="G881" si="40">CEILING(F881,576)</f>
        <v>0</v>
      </c>
      <c r="I881" s="17"/>
    </row>
    <row r="882" spans="1:9" x14ac:dyDescent="0.2">
      <c r="A882" s="14" t="s">
        <v>1825</v>
      </c>
      <c r="B882" s="1" t="s">
        <v>1823</v>
      </c>
      <c r="C882" s="1">
        <v>587516728</v>
      </c>
      <c r="D882" s="2" t="s">
        <v>1824</v>
      </c>
      <c r="E882" s="14">
        <v>81004033369</v>
      </c>
      <c r="F882" s="2">
        <f>IFERROR(VLOOKUP(B882,M10B!B:W,22,FALSE),0)</f>
        <v>0</v>
      </c>
      <c r="G882" s="1">
        <f t="shared" ref="G882" si="41">CEILING(F882,96)</f>
        <v>0</v>
      </c>
      <c r="I882" s="17"/>
    </row>
    <row r="883" spans="1:9" x14ac:dyDescent="0.2">
      <c r="A883" s="14" t="s">
        <v>1781</v>
      </c>
      <c r="B883" s="1" t="s">
        <v>1779</v>
      </c>
      <c r="C883" s="1">
        <v>587520147</v>
      </c>
      <c r="D883" s="2" t="s">
        <v>1780</v>
      </c>
      <c r="E883" s="14">
        <v>81004033482</v>
      </c>
      <c r="F883" s="2">
        <f>IFERROR(VLOOKUP(B883,M10B!B:W,22,FALSE),0)</f>
        <v>0</v>
      </c>
      <c r="G883" s="1">
        <f t="shared" ref="G883:G905" si="42">CEILING(F883,112)</f>
        <v>0</v>
      </c>
      <c r="I883" s="17"/>
    </row>
    <row r="884" spans="1:9" x14ac:dyDescent="0.2">
      <c r="A884" s="14" t="s">
        <v>1781</v>
      </c>
      <c r="B884" s="1" t="s">
        <v>1782</v>
      </c>
      <c r="C884" s="1">
        <v>587520168</v>
      </c>
      <c r="D884" s="2" t="s">
        <v>1783</v>
      </c>
      <c r="E884" s="14">
        <v>81004033483</v>
      </c>
      <c r="F884" s="2">
        <f>IFERROR(VLOOKUP(B884,M10B!B:W,22,FALSE),0)</f>
        <v>0</v>
      </c>
      <c r="G884" s="1">
        <f t="shared" si="42"/>
        <v>0</v>
      </c>
      <c r="I884" s="17"/>
    </row>
    <row r="885" spans="1:9" x14ac:dyDescent="0.2">
      <c r="A885" s="14" t="s">
        <v>1781</v>
      </c>
      <c r="B885" s="1" t="s">
        <v>1784</v>
      </c>
      <c r="C885" s="1">
        <v>587520155</v>
      </c>
      <c r="D885" s="2" t="s">
        <v>1785</v>
      </c>
      <c r="E885" s="14">
        <v>81004033484</v>
      </c>
      <c r="F885" s="2">
        <f>IFERROR(VLOOKUP(B885,M10B!B:W,22,FALSE),0)</f>
        <v>0</v>
      </c>
      <c r="G885" s="1">
        <f t="shared" si="42"/>
        <v>0</v>
      </c>
      <c r="I885" s="17"/>
    </row>
    <row r="886" spans="1:9" x14ac:dyDescent="0.2">
      <c r="A886" s="14" t="s">
        <v>1781</v>
      </c>
      <c r="B886" s="1" t="s">
        <v>1786</v>
      </c>
      <c r="C886" s="1">
        <v>587520153</v>
      </c>
      <c r="D886" s="2" t="s">
        <v>1787</v>
      </c>
      <c r="E886" s="14">
        <v>81004033485</v>
      </c>
      <c r="F886" s="2">
        <f>IFERROR(VLOOKUP(B886,M10B!B:W,22,FALSE),0)</f>
        <v>0</v>
      </c>
      <c r="G886" s="1">
        <f t="shared" si="42"/>
        <v>0</v>
      </c>
      <c r="I886" s="17"/>
    </row>
    <row r="887" spans="1:9" x14ac:dyDescent="0.2">
      <c r="A887" s="14" t="s">
        <v>1781</v>
      </c>
      <c r="B887" s="1" t="s">
        <v>1788</v>
      </c>
      <c r="C887" s="1">
        <v>587520154</v>
      </c>
      <c r="D887" s="2" t="s">
        <v>1789</v>
      </c>
      <c r="E887" s="14">
        <v>81004033486</v>
      </c>
      <c r="F887" s="2">
        <f>IFERROR(VLOOKUP(B887,M10B!B:W,22,FALSE),0)</f>
        <v>0</v>
      </c>
      <c r="G887" s="1">
        <f t="shared" si="42"/>
        <v>0</v>
      </c>
      <c r="I887" s="17"/>
    </row>
    <row r="888" spans="1:9" x14ac:dyDescent="0.2">
      <c r="A888" s="14" t="s">
        <v>1781</v>
      </c>
      <c r="B888" s="1" t="s">
        <v>1790</v>
      </c>
      <c r="C888" s="1">
        <v>587520156</v>
      </c>
      <c r="D888" s="2" t="s">
        <v>1791</v>
      </c>
      <c r="E888" s="14">
        <v>81004033487</v>
      </c>
      <c r="F888" s="2">
        <f>IFERROR(VLOOKUP(B888,M10B!B:W,22,FALSE),0)</f>
        <v>0</v>
      </c>
      <c r="G888" s="1">
        <f t="shared" si="42"/>
        <v>0</v>
      </c>
      <c r="I888" s="17"/>
    </row>
    <row r="889" spans="1:9" x14ac:dyDescent="0.2">
      <c r="A889" s="14" t="s">
        <v>1781</v>
      </c>
      <c r="B889" s="1" t="s">
        <v>1792</v>
      </c>
      <c r="C889" s="1">
        <v>587520159</v>
      </c>
      <c r="D889" s="2" t="s">
        <v>1793</v>
      </c>
      <c r="E889" s="14">
        <v>81004033488</v>
      </c>
      <c r="F889" s="2">
        <f>IFERROR(VLOOKUP(B889,M10B!B:W,22,FALSE),0)</f>
        <v>0</v>
      </c>
      <c r="G889" s="1">
        <f t="shared" si="42"/>
        <v>0</v>
      </c>
      <c r="I889" s="17"/>
    </row>
    <row r="890" spans="1:9" x14ac:dyDescent="0.2">
      <c r="A890" s="14" t="s">
        <v>1781</v>
      </c>
      <c r="B890" s="1" t="s">
        <v>1794</v>
      </c>
      <c r="C890" s="1">
        <v>587520157</v>
      </c>
      <c r="D890" s="2" t="s">
        <v>1795</v>
      </c>
      <c r="E890" s="14">
        <v>81004033489</v>
      </c>
      <c r="F890" s="2">
        <f>IFERROR(VLOOKUP(B890,M10B!B:W,22,FALSE),0)</f>
        <v>0</v>
      </c>
      <c r="G890" s="1">
        <f t="shared" si="42"/>
        <v>0</v>
      </c>
      <c r="I890" s="17"/>
    </row>
    <row r="891" spans="1:9" x14ac:dyDescent="0.2">
      <c r="A891" s="14" t="s">
        <v>1781</v>
      </c>
      <c r="B891" s="1" t="s">
        <v>1796</v>
      </c>
      <c r="C891" s="1">
        <v>587520162</v>
      </c>
      <c r="D891" s="2" t="s">
        <v>1797</v>
      </c>
      <c r="E891" s="14">
        <v>81004033490</v>
      </c>
      <c r="F891" s="2">
        <f>IFERROR(VLOOKUP(B891,M10B!B:W,22,FALSE),0)</f>
        <v>0</v>
      </c>
      <c r="G891" s="1">
        <f t="shared" si="42"/>
        <v>0</v>
      </c>
      <c r="I891" s="17"/>
    </row>
    <row r="892" spans="1:9" x14ac:dyDescent="0.2">
      <c r="A892" s="14" t="s">
        <v>1781</v>
      </c>
      <c r="B892" s="1" t="s">
        <v>1798</v>
      </c>
      <c r="C892" s="1">
        <v>587520169</v>
      </c>
      <c r="D892" s="2" t="s">
        <v>1799</v>
      </c>
      <c r="E892" s="14">
        <v>81004033491</v>
      </c>
      <c r="F892" s="2">
        <f>IFERROR(VLOOKUP(B892,M10B!B:W,22,FALSE),0)</f>
        <v>0</v>
      </c>
      <c r="G892" s="1">
        <f t="shared" si="42"/>
        <v>0</v>
      </c>
      <c r="I892" s="17"/>
    </row>
    <row r="893" spans="1:9" x14ac:dyDescent="0.2">
      <c r="A893" s="14" t="s">
        <v>1781</v>
      </c>
      <c r="B893" s="1" t="s">
        <v>1800</v>
      </c>
      <c r="C893" s="1">
        <v>587520160</v>
      </c>
      <c r="D893" s="2" t="s">
        <v>1801</v>
      </c>
      <c r="E893" s="14">
        <v>81004033492</v>
      </c>
      <c r="F893" s="2">
        <f>IFERROR(VLOOKUP(B893,M10B!B:W,22,FALSE),0)</f>
        <v>0</v>
      </c>
      <c r="G893" s="1">
        <f t="shared" si="42"/>
        <v>0</v>
      </c>
      <c r="I893" s="17"/>
    </row>
    <row r="894" spans="1:9" x14ac:dyDescent="0.2">
      <c r="A894" s="14" t="s">
        <v>1781</v>
      </c>
      <c r="B894" s="1" t="s">
        <v>1802</v>
      </c>
      <c r="C894" s="1">
        <v>587520164</v>
      </c>
      <c r="D894" s="2" t="s">
        <v>1803</v>
      </c>
      <c r="E894" s="14">
        <v>81004033493</v>
      </c>
      <c r="F894" s="2">
        <f>IFERROR(VLOOKUP(B894,M10B!B:W,22,FALSE),0)</f>
        <v>0</v>
      </c>
      <c r="G894" s="1">
        <f t="shared" si="42"/>
        <v>0</v>
      </c>
      <c r="I894" s="17"/>
    </row>
    <row r="895" spans="1:9" x14ac:dyDescent="0.2">
      <c r="A895" s="14" t="s">
        <v>1781</v>
      </c>
      <c r="B895" s="1" t="s">
        <v>1804</v>
      </c>
      <c r="C895" s="1">
        <v>587520161</v>
      </c>
      <c r="D895" s="2" t="s">
        <v>1805</v>
      </c>
      <c r="E895" s="14">
        <v>81004033494</v>
      </c>
      <c r="F895" s="2">
        <f>IFERROR(VLOOKUP(B895,M10B!B:W,22,FALSE),0)</f>
        <v>0</v>
      </c>
      <c r="G895" s="1">
        <f t="shared" si="42"/>
        <v>0</v>
      </c>
      <c r="I895" s="17"/>
    </row>
    <row r="896" spans="1:9" x14ac:dyDescent="0.2">
      <c r="A896" s="14" t="s">
        <v>1781</v>
      </c>
      <c r="B896" s="1" t="s">
        <v>1806</v>
      </c>
      <c r="C896" s="1">
        <v>587520165</v>
      </c>
      <c r="D896" s="2" t="s">
        <v>1780</v>
      </c>
      <c r="E896" s="14">
        <v>81004033495</v>
      </c>
      <c r="F896" s="2">
        <f>IFERROR(VLOOKUP(B896,M10B!B:W,22,FALSE),0)</f>
        <v>0</v>
      </c>
      <c r="G896" s="1">
        <f t="shared" si="42"/>
        <v>0</v>
      </c>
      <c r="I896" s="17"/>
    </row>
    <row r="897" spans="1:9" x14ac:dyDescent="0.2">
      <c r="A897" s="14" t="s">
        <v>1781</v>
      </c>
      <c r="B897" s="1" t="s">
        <v>1807</v>
      </c>
      <c r="C897" s="1">
        <v>587520173</v>
      </c>
      <c r="D897" s="2" t="s">
        <v>1808</v>
      </c>
      <c r="E897" s="14">
        <v>81004033496</v>
      </c>
      <c r="F897" s="2">
        <f>IFERROR(VLOOKUP(B897,M10B!B:W,22,FALSE),0)</f>
        <v>0</v>
      </c>
      <c r="G897" s="1">
        <f t="shared" si="42"/>
        <v>0</v>
      </c>
      <c r="I897" s="17"/>
    </row>
    <row r="898" spans="1:9" x14ac:dyDescent="0.2">
      <c r="A898" s="14" t="s">
        <v>1781</v>
      </c>
      <c r="B898" s="1" t="s">
        <v>1809</v>
      </c>
      <c r="C898" s="1">
        <v>587520167</v>
      </c>
      <c r="D898" s="2" t="s">
        <v>1799</v>
      </c>
      <c r="E898" s="14">
        <v>81004033497</v>
      </c>
      <c r="F898" s="2">
        <f>IFERROR(VLOOKUP(B898,M10B!B:W,22,FALSE),0)</f>
        <v>0</v>
      </c>
      <c r="G898" s="1">
        <f t="shared" si="42"/>
        <v>0</v>
      </c>
      <c r="I898" s="17"/>
    </row>
    <row r="899" spans="1:9" x14ac:dyDescent="0.2">
      <c r="A899" s="14" t="s">
        <v>1781</v>
      </c>
      <c r="B899" s="1" t="s">
        <v>1810</v>
      </c>
      <c r="C899" s="1">
        <v>587520172</v>
      </c>
      <c r="D899" s="2" t="s">
        <v>1811</v>
      </c>
      <c r="E899" s="14">
        <v>81004033498</v>
      </c>
      <c r="F899" s="2">
        <f>IFERROR(VLOOKUP(B899,M10B!B:W,22,FALSE),0)</f>
        <v>0</v>
      </c>
      <c r="G899" s="1">
        <f t="shared" si="42"/>
        <v>0</v>
      </c>
      <c r="I899" s="17"/>
    </row>
    <row r="900" spans="1:9" x14ac:dyDescent="0.2">
      <c r="A900" s="14" t="s">
        <v>1781</v>
      </c>
      <c r="B900" s="1" t="s">
        <v>1812</v>
      </c>
      <c r="C900" s="1">
        <v>587520166</v>
      </c>
      <c r="D900" s="2" t="s">
        <v>1813</v>
      </c>
      <c r="E900" s="14">
        <v>81004033499</v>
      </c>
      <c r="F900" s="2">
        <f>IFERROR(VLOOKUP(B900,M10B!B:W,22,FALSE),0)</f>
        <v>0</v>
      </c>
      <c r="G900" s="1">
        <f t="shared" si="42"/>
        <v>0</v>
      </c>
      <c r="I900" s="17"/>
    </row>
    <row r="901" spans="1:9" x14ac:dyDescent="0.2">
      <c r="A901" s="14" t="s">
        <v>1781</v>
      </c>
      <c r="B901" s="1" t="s">
        <v>1814</v>
      </c>
      <c r="C901" s="1">
        <v>587520171</v>
      </c>
      <c r="D901" s="2" t="s">
        <v>1815</v>
      </c>
      <c r="E901" s="14">
        <v>81004033500</v>
      </c>
      <c r="F901" s="2">
        <f>IFERROR(VLOOKUP(B901,M10B!B:W,22,FALSE),0)</f>
        <v>0</v>
      </c>
      <c r="G901" s="1">
        <f t="shared" si="42"/>
        <v>0</v>
      </c>
      <c r="I901" s="17"/>
    </row>
    <row r="902" spans="1:9" x14ac:dyDescent="0.2">
      <c r="A902" s="14" t="s">
        <v>1781</v>
      </c>
      <c r="B902" s="1" t="s">
        <v>1816</v>
      </c>
      <c r="C902" s="1">
        <v>587520236</v>
      </c>
      <c r="D902" s="2" t="s">
        <v>1780</v>
      </c>
      <c r="E902" s="14">
        <v>81004033501</v>
      </c>
      <c r="F902" s="2">
        <f>IFERROR(VLOOKUP(B902,M10B!B:W,22,FALSE),0)</f>
        <v>0</v>
      </c>
      <c r="G902" s="1">
        <f t="shared" si="42"/>
        <v>0</v>
      </c>
      <c r="I902" s="17"/>
    </row>
    <row r="903" spans="1:9" x14ac:dyDescent="0.2">
      <c r="A903" s="14" t="s">
        <v>1781</v>
      </c>
      <c r="B903" s="1" t="s">
        <v>1817</v>
      </c>
      <c r="C903" s="1">
        <v>587520170</v>
      </c>
      <c r="D903" s="2" t="s">
        <v>1818</v>
      </c>
      <c r="E903" s="14">
        <v>81004033502</v>
      </c>
      <c r="F903" s="2">
        <f>IFERROR(VLOOKUP(B903,M10B!B:W,22,FALSE),0)</f>
        <v>0</v>
      </c>
      <c r="G903" s="1">
        <f t="shared" si="42"/>
        <v>0</v>
      </c>
      <c r="I903" s="17"/>
    </row>
    <row r="904" spans="1:9" x14ac:dyDescent="0.2">
      <c r="A904" s="14" t="s">
        <v>1781</v>
      </c>
      <c r="B904" s="1" t="s">
        <v>1819</v>
      </c>
      <c r="C904" s="1">
        <v>587520178</v>
      </c>
      <c r="D904" s="2" t="s">
        <v>1820</v>
      </c>
      <c r="E904" s="14">
        <v>81004033504</v>
      </c>
      <c r="F904" s="2">
        <f>IFERROR(VLOOKUP(B904,M10B!B:W,22,FALSE),0)</f>
        <v>0</v>
      </c>
      <c r="G904" s="1">
        <f t="shared" si="42"/>
        <v>0</v>
      </c>
      <c r="I904" s="17"/>
    </row>
    <row r="905" spans="1:9" x14ac:dyDescent="0.2">
      <c r="A905" s="14" t="s">
        <v>1781</v>
      </c>
      <c r="B905" s="1" t="s">
        <v>1821</v>
      </c>
      <c r="C905" s="1">
        <v>587520175</v>
      </c>
      <c r="D905" s="2" t="s">
        <v>1822</v>
      </c>
      <c r="E905" s="14">
        <v>81004033505</v>
      </c>
      <c r="F905" s="2">
        <f>IFERROR(VLOOKUP(B905,M10B!B:W,22,FALSE),0)</f>
        <v>0</v>
      </c>
      <c r="G905" s="1">
        <f t="shared" si="42"/>
        <v>0</v>
      </c>
      <c r="I905" s="17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Fense">
                <anchor moveWithCells="1" sizeWithCells="1">
                  <from>
                    <xdr:col>8</xdr:col>
                    <xdr:colOff>266700</xdr:colOff>
                    <xdr:row>0</xdr:row>
                    <xdr:rowOff>0</xdr:rowOff>
                  </from>
                  <to>
                    <xdr:col>10</xdr:col>
                    <xdr:colOff>152400</xdr:colOff>
                    <xdr:row>3</xdr:row>
                    <xdr:rowOff>63500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A694"/>
  <sheetViews>
    <sheetView zoomScale="55" zoomScaleNormal="55" workbookViewId="0">
      <pane xSplit="3" ySplit="1" topLeftCell="D2" activePane="bottomRight" state="frozen"/>
      <selection activeCell="P6" sqref="P6"/>
      <selection pane="topRight" activeCell="P6" sqref="P6"/>
      <selection pane="bottomLeft" activeCell="P6" sqref="P6"/>
      <selection pane="bottomRight" activeCell="L13" sqref="L13"/>
    </sheetView>
  </sheetViews>
  <sheetFormatPr baseColWidth="10" defaultColWidth="8.83203125" defaultRowHeight="15" x14ac:dyDescent="0.2"/>
  <cols>
    <col min="1" max="1" width="20.6640625" bestFit="1" customWidth="1"/>
    <col min="2" max="2" width="13.1640625" bestFit="1" customWidth="1"/>
    <col min="3" max="3" width="18.83203125" bestFit="1" customWidth="1"/>
    <col min="4" max="4" width="12" bestFit="1" customWidth="1"/>
    <col min="5" max="5" width="32" bestFit="1" customWidth="1"/>
    <col min="6" max="6" width="12.5" bestFit="1" customWidth="1"/>
    <col min="7" max="7" width="12.1640625" bestFit="1" customWidth="1"/>
    <col min="8" max="8" width="8.1640625" bestFit="1" customWidth="1"/>
    <col min="9" max="9" width="20" bestFit="1" customWidth="1"/>
    <col min="10" max="10" width="11.1640625" bestFit="1" customWidth="1"/>
    <col min="11" max="11" width="14.83203125" bestFit="1" customWidth="1"/>
    <col min="12" max="12" width="14.5" bestFit="1" customWidth="1"/>
    <col min="13" max="13" width="27.83203125" bestFit="1" customWidth="1"/>
    <col min="14" max="14" width="14.5" bestFit="1" customWidth="1"/>
    <col min="15" max="15" width="17.83203125" bestFit="1" customWidth="1"/>
    <col min="16" max="16" width="17" bestFit="1" customWidth="1"/>
    <col min="17" max="19" width="12" bestFit="1" customWidth="1"/>
    <col min="20" max="21" width="12" customWidth="1"/>
    <col min="23" max="24" width="9.1640625" customWidth="1"/>
    <col min="25" max="25" width="9.1640625" style="13" customWidth="1"/>
    <col min="26" max="26" width="9.1640625" customWidth="1"/>
  </cols>
  <sheetData>
    <row r="1" spans="1:24" ht="59.25" customHeight="1" x14ac:dyDescent="0.2">
      <c r="A1" s="20" t="s">
        <v>1758</v>
      </c>
      <c r="B1" s="20" t="s">
        <v>359</v>
      </c>
      <c r="C1" s="20" t="s">
        <v>1759</v>
      </c>
      <c r="D1" s="21" t="s">
        <v>360</v>
      </c>
      <c r="E1" s="20" t="s">
        <v>1760</v>
      </c>
      <c r="F1" s="20" t="s">
        <v>1761</v>
      </c>
      <c r="G1" s="20" t="s">
        <v>1762</v>
      </c>
      <c r="H1" s="20" t="s">
        <v>1763</v>
      </c>
      <c r="I1" s="20" t="s">
        <v>1764</v>
      </c>
      <c r="J1" s="22" t="s">
        <v>1765</v>
      </c>
      <c r="K1" s="23" t="s">
        <v>1766</v>
      </c>
      <c r="L1" s="23" t="s">
        <v>1767</v>
      </c>
      <c r="M1" s="23" t="s">
        <v>1768</v>
      </c>
      <c r="N1" s="23" t="s">
        <v>1769</v>
      </c>
      <c r="O1" s="20" t="s">
        <v>1770</v>
      </c>
      <c r="P1" s="20" t="s">
        <v>1771</v>
      </c>
      <c r="Q1" s="20" t="s">
        <v>1772</v>
      </c>
      <c r="R1" s="20" t="s">
        <v>1773</v>
      </c>
      <c r="S1" s="23" t="s">
        <v>367</v>
      </c>
      <c r="T1" s="24" t="s">
        <v>1774</v>
      </c>
      <c r="U1" s="20" t="s">
        <v>1775</v>
      </c>
      <c r="V1" s="20" t="s">
        <v>1776</v>
      </c>
      <c r="W1" s="23" t="s">
        <v>367</v>
      </c>
    </row>
    <row r="2" spans="1:24" x14ac:dyDescent="0.2">
      <c r="A2" s="19">
        <v>569042330</v>
      </c>
      <c r="B2" s="19" t="s">
        <v>700</v>
      </c>
      <c r="C2" s="19" t="s">
        <v>701</v>
      </c>
      <c r="D2" s="19" t="s">
        <v>523</v>
      </c>
      <c r="E2" s="19" t="s">
        <v>1778</v>
      </c>
      <c r="F2" s="19">
        <v>508804198</v>
      </c>
      <c r="G2" s="19">
        <v>3</v>
      </c>
      <c r="H2" s="19">
        <v>3</v>
      </c>
      <c r="I2" s="19">
        <v>2230</v>
      </c>
      <c r="J2" s="25">
        <v>0.97488799999999998</v>
      </c>
      <c r="K2" s="26">
        <v>167.99928000000017</v>
      </c>
      <c r="L2" s="26">
        <v>7227</v>
      </c>
      <c r="M2" s="26">
        <v>9</v>
      </c>
      <c r="N2" s="26">
        <v>8</v>
      </c>
      <c r="O2" s="27">
        <v>17</v>
      </c>
      <c r="P2" s="19">
        <v>12</v>
      </c>
      <c r="Q2" s="19">
        <v>1</v>
      </c>
      <c r="R2" s="19" t="s">
        <v>1941</v>
      </c>
      <c r="S2" s="26">
        <v>4005.169280000001</v>
      </c>
      <c r="T2" s="28">
        <v>5</v>
      </c>
      <c r="U2" s="19" t="s">
        <v>878</v>
      </c>
      <c r="V2" s="19">
        <v>0</v>
      </c>
      <c r="W2" s="19"/>
      <c r="X2" t="b">
        <f>VLOOKUP(B2,'M10B Order'!B:F,5,FALSE)=W2</f>
        <v>1</v>
      </c>
    </row>
    <row r="3" spans="1:24" x14ac:dyDescent="0.2">
      <c r="A3" s="19">
        <v>579058167</v>
      </c>
      <c r="B3" s="19" t="s">
        <v>1188</v>
      </c>
      <c r="C3" s="19" t="s">
        <v>1189</v>
      </c>
      <c r="D3" s="19" t="s">
        <v>523</v>
      </c>
      <c r="E3" s="19" t="s">
        <v>1778</v>
      </c>
      <c r="F3" s="19">
        <v>508804191</v>
      </c>
      <c r="G3" s="19">
        <v>4</v>
      </c>
      <c r="H3" s="19">
        <v>4</v>
      </c>
      <c r="I3" s="19">
        <v>1469</v>
      </c>
      <c r="J3" s="25">
        <v>0.95847499999999997</v>
      </c>
      <c r="K3" s="26">
        <v>244.0009000000002</v>
      </c>
      <c r="L3" s="26">
        <v>1380</v>
      </c>
      <c r="M3" s="26">
        <v>9</v>
      </c>
      <c r="N3" s="26">
        <v>6</v>
      </c>
      <c r="O3" s="27">
        <v>15</v>
      </c>
      <c r="P3" s="19">
        <v>12</v>
      </c>
      <c r="Q3" s="19">
        <v>1</v>
      </c>
      <c r="R3" s="19" t="s">
        <v>1939</v>
      </c>
      <c r="S3" s="26">
        <v>3459.3009000000002</v>
      </c>
      <c r="T3" s="28">
        <v>4</v>
      </c>
      <c r="U3" s="19" t="s">
        <v>1429</v>
      </c>
      <c r="V3" s="19">
        <v>0</v>
      </c>
      <c r="W3" s="19"/>
      <c r="X3" t="b">
        <f>VLOOKUP(B3,'M10B Order'!B:F,5,FALSE)=W3</f>
        <v>1</v>
      </c>
    </row>
    <row r="4" spans="1:24" x14ac:dyDescent="0.2">
      <c r="A4" s="19">
        <v>579058150</v>
      </c>
      <c r="B4" s="19" t="s">
        <v>1150</v>
      </c>
      <c r="C4" s="19" t="s">
        <v>1151</v>
      </c>
      <c r="D4" s="19" t="s">
        <v>523</v>
      </c>
      <c r="E4" s="19" t="s">
        <v>1778</v>
      </c>
      <c r="F4" s="19">
        <v>508804198</v>
      </c>
      <c r="G4" s="19">
        <v>4</v>
      </c>
      <c r="H4" s="19">
        <v>4</v>
      </c>
      <c r="I4" s="19">
        <v>2230</v>
      </c>
      <c r="J4" s="25">
        <v>0.97309400000000001</v>
      </c>
      <c r="K4" s="26">
        <v>240.00151999999986</v>
      </c>
      <c r="L4" s="26">
        <v>5868</v>
      </c>
      <c r="M4" s="26">
        <v>9</v>
      </c>
      <c r="N4" s="26">
        <v>8</v>
      </c>
      <c r="O4" s="27">
        <v>17</v>
      </c>
      <c r="P4" s="19">
        <v>12</v>
      </c>
      <c r="Q4" s="19">
        <v>1</v>
      </c>
      <c r="R4" s="19" t="s">
        <v>1941</v>
      </c>
      <c r="S4" s="26">
        <v>2508.0215200000002</v>
      </c>
      <c r="T4" s="28">
        <v>9</v>
      </c>
      <c r="U4" s="19" t="s">
        <v>1101</v>
      </c>
      <c r="V4" s="19"/>
      <c r="W4" s="19"/>
      <c r="X4" t="b">
        <f>VLOOKUP(B4,'M10B Order'!B:F,5,FALSE)=W4</f>
        <v>1</v>
      </c>
    </row>
    <row r="5" spans="1:24" x14ac:dyDescent="0.2">
      <c r="A5" s="19">
        <v>569033503</v>
      </c>
      <c r="B5" s="19" t="s">
        <v>723</v>
      </c>
      <c r="C5" s="19" t="s">
        <v>724</v>
      </c>
      <c r="D5" s="19" t="s">
        <v>523</v>
      </c>
      <c r="E5" s="19" t="s">
        <v>1778</v>
      </c>
      <c r="F5" s="19">
        <v>508804198</v>
      </c>
      <c r="G5" s="19">
        <v>3</v>
      </c>
      <c r="H5" s="19">
        <v>3</v>
      </c>
      <c r="I5" s="19">
        <v>2389</v>
      </c>
      <c r="J5" s="25">
        <v>0.93888700000000003</v>
      </c>
      <c r="K5" s="26">
        <v>437.99687099999983</v>
      </c>
      <c r="L5" s="26">
        <v>7053</v>
      </c>
      <c r="M5" s="26">
        <v>9</v>
      </c>
      <c r="N5" s="26">
        <v>8</v>
      </c>
      <c r="O5" s="27">
        <v>17</v>
      </c>
      <c r="P5" s="19">
        <v>12</v>
      </c>
      <c r="Q5" s="19">
        <v>1</v>
      </c>
      <c r="R5" s="19" t="s">
        <v>1941</v>
      </c>
      <c r="S5" s="26">
        <v>2005.9968709999994</v>
      </c>
      <c r="T5" s="28">
        <v>11</v>
      </c>
      <c r="U5" s="19" t="s">
        <v>777</v>
      </c>
      <c r="V5" s="19">
        <v>0</v>
      </c>
      <c r="W5" s="19"/>
      <c r="X5" t="b">
        <f>VLOOKUP(B5,'M10B Order'!B:F,5,FALSE)=W5</f>
        <v>1</v>
      </c>
    </row>
    <row r="6" spans="1:24" x14ac:dyDescent="0.2">
      <c r="A6" s="19">
        <v>579058161</v>
      </c>
      <c r="B6" s="19" t="s">
        <v>1186</v>
      </c>
      <c r="C6" s="19" t="s">
        <v>1187</v>
      </c>
      <c r="D6" s="19" t="s">
        <v>523</v>
      </c>
      <c r="E6" s="19" t="s">
        <v>1778</v>
      </c>
      <c r="F6" s="19">
        <v>508804191</v>
      </c>
      <c r="G6" s="19">
        <v>4</v>
      </c>
      <c r="H6" s="19">
        <v>4</v>
      </c>
      <c r="I6" s="19">
        <v>1470</v>
      </c>
      <c r="J6" s="25">
        <v>0.98571399999999998</v>
      </c>
      <c r="K6" s="26">
        <v>84.001680000000121</v>
      </c>
      <c r="L6" s="26">
        <v>1476</v>
      </c>
      <c r="M6" s="26">
        <v>9</v>
      </c>
      <c r="N6" s="26">
        <v>6</v>
      </c>
      <c r="O6" s="27">
        <v>15</v>
      </c>
      <c r="P6" s="19">
        <v>12</v>
      </c>
      <c r="Q6" s="19">
        <v>1</v>
      </c>
      <c r="R6" s="19" t="s">
        <v>1939</v>
      </c>
      <c r="S6" s="26">
        <v>1990.211680000001</v>
      </c>
      <c r="T6" s="28">
        <v>9</v>
      </c>
      <c r="U6" s="19" t="s">
        <v>1419</v>
      </c>
      <c r="V6" s="19">
        <v>1135.7248239999994</v>
      </c>
      <c r="W6" s="19"/>
      <c r="X6" t="b">
        <f>VLOOKUP(B6,'M10B Order'!B:F,5,FALSE)=W6</f>
        <v>1</v>
      </c>
    </row>
    <row r="7" spans="1:24" x14ac:dyDescent="0.2">
      <c r="A7" s="19">
        <v>579058159</v>
      </c>
      <c r="B7" s="19" t="s">
        <v>1168</v>
      </c>
      <c r="C7" s="19" t="s">
        <v>1169</v>
      </c>
      <c r="D7" s="19" t="s">
        <v>523</v>
      </c>
      <c r="E7" s="19" t="s">
        <v>1778</v>
      </c>
      <c r="F7" s="19">
        <v>508804191</v>
      </c>
      <c r="G7" s="19">
        <v>4</v>
      </c>
      <c r="H7" s="19">
        <v>4</v>
      </c>
      <c r="I7" s="19">
        <v>2110</v>
      </c>
      <c r="J7" s="25">
        <v>0.96492900000000004</v>
      </c>
      <c r="K7" s="26">
        <v>295.9992399999997</v>
      </c>
      <c r="L7" s="26">
        <v>3764</v>
      </c>
      <c r="M7" s="26">
        <v>9</v>
      </c>
      <c r="N7" s="26">
        <v>6</v>
      </c>
      <c r="O7" s="27">
        <v>15</v>
      </c>
      <c r="P7" s="19">
        <v>12</v>
      </c>
      <c r="Q7" s="19">
        <v>1</v>
      </c>
      <c r="R7" s="19" t="s">
        <v>1939</v>
      </c>
      <c r="S7" s="26">
        <v>1875.6392399999993</v>
      </c>
      <c r="T7" s="28">
        <v>9</v>
      </c>
      <c r="U7" s="19" t="s">
        <v>1415</v>
      </c>
      <c r="V7" s="19">
        <v>452.74999999999994</v>
      </c>
      <c r="W7" s="19"/>
      <c r="X7" t="b">
        <f>VLOOKUP(B7,'M10B Order'!B:F,5,FALSE)=W7</f>
        <v>1</v>
      </c>
    </row>
    <row r="8" spans="1:24" x14ac:dyDescent="0.2">
      <c r="A8" s="19">
        <v>569042321</v>
      </c>
      <c r="B8" s="19" t="s">
        <v>725</v>
      </c>
      <c r="C8" s="19" t="s">
        <v>726</v>
      </c>
      <c r="D8" s="19" t="s">
        <v>523</v>
      </c>
      <c r="E8" s="19" t="s">
        <v>1778</v>
      </c>
      <c r="F8" s="19">
        <v>508804198</v>
      </c>
      <c r="G8" s="19">
        <v>3</v>
      </c>
      <c r="H8" s="19">
        <v>3</v>
      </c>
      <c r="I8" s="19">
        <v>2230</v>
      </c>
      <c r="J8" s="25">
        <v>0.96771300000000005</v>
      </c>
      <c r="K8" s="26">
        <v>216.0000299999997</v>
      </c>
      <c r="L8" s="26">
        <v>3126</v>
      </c>
      <c r="M8" s="26">
        <v>9</v>
      </c>
      <c r="N8" s="26">
        <v>8</v>
      </c>
      <c r="O8" s="27">
        <v>17</v>
      </c>
      <c r="P8" s="19">
        <v>12</v>
      </c>
      <c r="Q8" s="19">
        <v>1</v>
      </c>
      <c r="R8" s="19" t="s">
        <v>1941</v>
      </c>
      <c r="S8" s="26">
        <v>1594.440029999997</v>
      </c>
      <c r="T8" s="28">
        <v>10</v>
      </c>
      <c r="U8" s="19" t="s">
        <v>779</v>
      </c>
      <c r="V8" s="19">
        <v>1028.83824</v>
      </c>
      <c r="W8" s="19"/>
      <c r="X8" t="b">
        <f>VLOOKUP(B8,'M10B Order'!B:F,5,FALSE)=W8</f>
        <v>1</v>
      </c>
    </row>
    <row r="9" spans="1:24" x14ac:dyDescent="0.2">
      <c r="A9" s="19">
        <v>579058162</v>
      </c>
      <c r="B9" s="19" t="s">
        <v>1184</v>
      </c>
      <c r="C9" s="19" t="s">
        <v>1185</v>
      </c>
      <c r="D9" s="19" t="s">
        <v>523</v>
      </c>
      <c r="E9" s="19" t="s">
        <v>1778</v>
      </c>
      <c r="F9" s="19">
        <v>508804191</v>
      </c>
      <c r="G9" s="19">
        <v>4</v>
      </c>
      <c r="H9" s="19">
        <v>4</v>
      </c>
      <c r="I9" s="19">
        <v>1470</v>
      </c>
      <c r="J9" s="25">
        <v>0.91972799999999999</v>
      </c>
      <c r="K9" s="26">
        <v>471.99936000000008</v>
      </c>
      <c r="L9" s="26">
        <v>0</v>
      </c>
      <c r="M9" s="26">
        <v>9</v>
      </c>
      <c r="N9" s="26">
        <v>6</v>
      </c>
      <c r="O9" s="27">
        <v>15</v>
      </c>
      <c r="P9" s="19">
        <v>12</v>
      </c>
      <c r="Q9" s="19">
        <v>1</v>
      </c>
      <c r="R9" s="19" t="s">
        <v>1939</v>
      </c>
      <c r="S9" s="26">
        <v>1440.7193599999996</v>
      </c>
      <c r="T9" s="28">
        <v>6</v>
      </c>
      <c r="U9" s="19" t="s">
        <v>1421</v>
      </c>
      <c r="V9" s="19">
        <v>0</v>
      </c>
      <c r="W9" s="19"/>
      <c r="X9" t="b">
        <f>VLOOKUP(B9,'M10B Order'!B:F,5,FALSE)=W9</f>
        <v>1</v>
      </c>
    </row>
    <row r="10" spans="1:24" x14ac:dyDescent="0.2">
      <c r="A10" s="19">
        <v>569033507</v>
      </c>
      <c r="B10" s="19" t="s">
        <v>737</v>
      </c>
      <c r="C10" s="19" t="s">
        <v>738</v>
      </c>
      <c r="D10" s="19" t="s">
        <v>523</v>
      </c>
      <c r="E10" s="19" t="s">
        <v>1778</v>
      </c>
      <c r="F10" s="19">
        <v>508804198</v>
      </c>
      <c r="G10" s="19">
        <v>3</v>
      </c>
      <c r="H10" s="19">
        <v>3</v>
      </c>
      <c r="I10" s="19">
        <v>2230</v>
      </c>
      <c r="J10" s="25">
        <v>0.98071699999999995</v>
      </c>
      <c r="K10" s="26">
        <v>129.00327000000033</v>
      </c>
      <c r="L10" s="26">
        <v>2559</v>
      </c>
      <c r="M10" s="26">
        <v>9</v>
      </c>
      <c r="N10" s="26">
        <v>8</v>
      </c>
      <c r="O10" s="27">
        <v>17</v>
      </c>
      <c r="P10" s="19">
        <v>12</v>
      </c>
      <c r="Q10" s="19">
        <v>1</v>
      </c>
      <c r="R10" s="19" t="s">
        <v>1941</v>
      </c>
      <c r="S10" s="26">
        <v>1304.3632700000007</v>
      </c>
      <c r="T10" s="28">
        <v>9</v>
      </c>
      <c r="U10" s="19" t="s">
        <v>868</v>
      </c>
      <c r="V10" s="19">
        <v>0</v>
      </c>
      <c r="W10" s="19"/>
      <c r="X10" t="b">
        <f>VLOOKUP(B10,'M10B Order'!B:F,5,FALSE)=W10</f>
        <v>1</v>
      </c>
    </row>
    <row r="11" spans="1:24" x14ac:dyDescent="0.2">
      <c r="A11" s="19">
        <v>567149000</v>
      </c>
      <c r="B11" s="19" t="s">
        <v>561</v>
      </c>
      <c r="C11" s="19" t="s">
        <v>560</v>
      </c>
      <c r="D11" s="19" t="s">
        <v>523</v>
      </c>
      <c r="E11" s="19" t="s">
        <v>1778</v>
      </c>
      <c r="F11" s="19">
        <v>508804198</v>
      </c>
      <c r="G11" s="19">
        <v>4</v>
      </c>
      <c r="H11" s="19">
        <v>4</v>
      </c>
      <c r="I11" s="19">
        <v>1816</v>
      </c>
      <c r="J11" s="25">
        <v>0.98017600000000005</v>
      </c>
      <c r="K11" s="26">
        <v>144.00153599999965</v>
      </c>
      <c r="L11" s="26">
        <v>8080</v>
      </c>
      <c r="M11" s="26">
        <v>9</v>
      </c>
      <c r="N11" s="26">
        <v>8</v>
      </c>
      <c r="O11" s="27">
        <v>17</v>
      </c>
      <c r="P11" s="19">
        <v>12</v>
      </c>
      <c r="Q11" s="19">
        <v>1</v>
      </c>
      <c r="R11" s="19" t="s">
        <v>1941</v>
      </c>
      <c r="S11" s="26">
        <v>1122.8115360000002</v>
      </c>
      <c r="T11" s="28">
        <v>9</v>
      </c>
      <c r="U11" s="19" t="s">
        <v>133</v>
      </c>
      <c r="V11" s="19" t="s">
        <v>431</v>
      </c>
      <c r="W11" s="19"/>
      <c r="X11" t="b">
        <f>VLOOKUP(B11,'M10B Order'!B:F,5,FALSE)=W11</f>
        <v>1</v>
      </c>
    </row>
    <row r="12" spans="1:24" x14ac:dyDescent="0.2">
      <c r="A12" s="19">
        <v>569023447</v>
      </c>
      <c r="B12" s="19" t="s">
        <v>706</v>
      </c>
      <c r="C12" s="19" t="s">
        <v>707</v>
      </c>
      <c r="D12" s="19" t="s">
        <v>523</v>
      </c>
      <c r="E12" s="19" t="s">
        <v>1778</v>
      </c>
      <c r="F12" s="19">
        <v>508804198</v>
      </c>
      <c r="G12" s="19">
        <v>3</v>
      </c>
      <c r="H12" s="19">
        <v>3</v>
      </c>
      <c r="I12" s="19">
        <v>1897</v>
      </c>
      <c r="J12" s="25">
        <v>0.97364300000000004</v>
      </c>
      <c r="K12" s="26">
        <v>149.99768699999979</v>
      </c>
      <c r="L12" s="26">
        <v>2574</v>
      </c>
      <c r="M12" s="26">
        <v>9</v>
      </c>
      <c r="N12" s="26">
        <v>8</v>
      </c>
      <c r="O12" s="27">
        <v>17</v>
      </c>
      <c r="P12" s="19">
        <v>12</v>
      </c>
      <c r="Q12" s="19">
        <v>1</v>
      </c>
      <c r="R12" s="19" t="s">
        <v>1941</v>
      </c>
      <c r="S12" s="26">
        <v>1114.9076869999997</v>
      </c>
      <c r="T12" s="28">
        <v>10</v>
      </c>
      <c r="U12" s="19" t="s">
        <v>918</v>
      </c>
      <c r="V12" s="19">
        <v>44.599487999999752</v>
      </c>
      <c r="W12" s="19"/>
      <c r="X12" t="b">
        <f>VLOOKUP(B12,'M10B Order'!B:F,5,FALSE)=W12</f>
        <v>1</v>
      </c>
    </row>
    <row r="13" spans="1:24" x14ac:dyDescent="0.2">
      <c r="A13" s="19">
        <v>569033502</v>
      </c>
      <c r="B13" s="19" t="s">
        <v>739</v>
      </c>
      <c r="C13" s="19" t="s">
        <v>740</v>
      </c>
      <c r="D13" s="19" t="s">
        <v>523</v>
      </c>
      <c r="E13" s="19" t="s">
        <v>1778</v>
      </c>
      <c r="F13" s="19">
        <v>508804198</v>
      </c>
      <c r="G13" s="19">
        <v>3</v>
      </c>
      <c r="H13" s="19">
        <v>3</v>
      </c>
      <c r="I13" s="19">
        <v>1897</v>
      </c>
      <c r="J13" s="25">
        <v>0.96151799999999998</v>
      </c>
      <c r="K13" s="26">
        <v>219.0010620000001</v>
      </c>
      <c r="L13" s="26">
        <v>1764</v>
      </c>
      <c r="M13" s="26">
        <v>9</v>
      </c>
      <c r="N13" s="26">
        <v>8</v>
      </c>
      <c r="O13" s="27">
        <v>17</v>
      </c>
      <c r="P13" s="19">
        <v>12</v>
      </c>
      <c r="Q13" s="19">
        <v>1</v>
      </c>
      <c r="R13" s="19" t="s">
        <v>1941</v>
      </c>
      <c r="S13" s="26">
        <v>1069.2310619999982</v>
      </c>
      <c r="T13" s="28">
        <v>10</v>
      </c>
      <c r="U13" s="19" t="s">
        <v>874</v>
      </c>
      <c r="V13" s="19">
        <v>773.49772800000028</v>
      </c>
      <c r="W13" s="19"/>
      <c r="X13" t="b">
        <f>VLOOKUP(B13,'M10B Order'!B:F,5,FALSE)=W13</f>
        <v>1</v>
      </c>
    </row>
    <row r="14" spans="1:24" x14ac:dyDescent="0.2">
      <c r="A14" s="19">
        <v>569033512</v>
      </c>
      <c r="B14" s="19" t="s">
        <v>751</v>
      </c>
      <c r="C14" s="19" t="s">
        <v>752</v>
      </c>
      <c r="D14" s="19" t="s">
        <v>523</v>
      </c>
      <c r="E14" s="19" t="s">
        <v>1778</v>
      </c>
      <c r="F14" s="19">
        <v>508804198</v>
      </c>
      <c r="G14" s="19">
        <v>3</v>
      </c>
      <c r="H14" s="19">
        <v>3</v>
      </c>
      <c r="I14" s="19">
        <v>2389</v>
      </c>
      <c r="J14" s="25">
        <v>0.97907100000000002</v>
      </c>
      <c r="K14" s="26">
        <v>149.99814299999983</v>
      </c>
      <c r="L14" s="26">
        <v>4041</v>
      </c>
      <c r="M14" s="26">
        <v>9</v>
      </c>
      <c r="N14" s="26">
        <v>8</v>
      </c>
      <c r="O14" s="27">
        <v>17</v>
      </c>
      <c r="P14" s="19">
        <v>12</v>
      </c>
      <c r="Q14" s="19">
        <v>1</v>
      </c>
      <c r="R14" s="19" t="s">
        <v>1941</v>
      </c>
      <c r="S14" s="26">
        <v>1026.4381429999996</v>
      </c>
      <c r="T14" s="28">
        <v>9</v>
      </c>
      <c r="U14" s="19" t="s">
        <v>880</v>
      </c>
      <c r="V14" s="19">
        <v>1548.4673119999993</v>
      </c>
      <c r="W14" s="19"/>
      <c r="X14" t="b">
        <f>VLOOKUP(B14,'M10B Order'!B:F,5,FALSE)=W14</f>
        <v>1</v>
      </c>
    </row>
    <row r="15" spans="1:24" x14ac:dyDescent="0.2">
      <c r="A15" s="19">
        <v>567148997</v>
      </c>
      <c r="B15" s="19" t="s">
        <v>558</v>
      </c>
      <c r="C15" s="19" t="s">
        <v>557</v>
      </c>
      <c r="D15" s="19" t="s">
        <v>523</v>
      </c>
      <c r="E15" s="19" t="s">
        <v>1778</v>
      </c>
      <c r="F15" s="19">
        <v>508804198</v>
      </c>
      <c r="G15" s="19">
        <v>4</v>
      </c>
      <c r="H15" s="19">
        <v>4</v>
      </c>
      <c r="I15" s="19">
        <v>1897</v>
      </c>
      <c r="J15" s="25">
        <v>0.97416999999999998</v>
      </c>
      <c r="K15" s="26">
        <v>195.99804000000015</v>
      </c>
      <c r="L15" s="26">
        <v>3292</v>
      </c>
      <c r="M15" s="26">
        <v>9</v>
      </c>
      <c r="N15" s="26">
        <v>8</v>
      </c>
      <c r="O15" s="27">
        <v>17</v>
      </c>
      <c r="P15" s="19">
        <v>12</v>
      </c>
      <c r="Q15" s="19">
        <v>1</v>
      </c>
      <c r="R15" s="19" t="s">
        <v>1941</v>
      </c>
      <c r="S15" s="26">
        <v>840.90803999999957</v>
      </c>
      <c r="T15" s="28">
        <v>10</v>
      </c>
      <c r="U15" s="19" t="s">
        <v>382</v>
      </c>
      <c r="V15" s="19" t="s">
        <v>431</v>
      </c>
      <c r="W15" s="19"/>
      <c r="X15" t="b">
        <f>VLOOKUP(B15,'M10B Order'!B:F,5,FALSE)=W15</f>
        <v>1</v>
      </c>
    </row>
    <row r="16" spans="1:24" x14ac:dyDescent="0.2">
      <c r="A16" s="19">
        <v>579058179</v>
      </c>
      <c r="B16" s="19" t="s">
        <v>1194</v>
      </c>
      <c r="C16" s="19" t="s">
        <v>1195</v>
      </c>
      <c r="D16" s="19" t="s">
        <v>523</v>
      </c>
      <c r="E16" s="19" t="s">
        <v>1778</v>
      </c>
      <c r="F16" s="19">
        <v>508804191</v>
      </c>
      <c r="G16" s="19">
        <v>4</v>
      </c>
      <c r="H16" s="19">
        <v>4</v>
      </c>
      <c r="I16" s="19">
        <v>2230</v>
      </c>
      <c r="J16" s="25">
        <v>0.98161399999999999</v>
      </c>
      <c r="K16" s="26">
        <v>164.00312000000011</v>
      </c>
      <c r="L16" s="26">
        <v>2656</v>
      </c>
      <c r="M16" s="26">
        <v>9</v>
      </c>
      <c r="N16" s="26">
        <v>6</v>
      </c>
      <c r="O16" s="27">
        <v>15</v>
      </c>
      <c r="P16" s="19">
        <v>12</v>
      </c>
      <c r="Q16" s="19">
        <v>1</v>
      </c>
      <c r="R16" s="19" t="s">
        <v>1939</v>
      </c>
      <c r="S16" s="26">
        <v>812.15312000000085</v>
      </c>
      <c r="T16" s="28">
        <v>10</v>
      </c>
      <c r="U16" s="19" t="s">
        <v>1443</v>
      </c>
      <c r="V16" s="19">
        <v>0</v>
      </c>
      <c r="W16" s="19"/>
      <c r="X16" t="b">
        <f>VLOOKUP(B16,'M10B Order'!B:F,5,FALSE)=W16</f>
        <v>1</v>
      </c>
    </row>
    <row r="17" spans="1:24" x14ac:dyDescent="0.2">
      <c r="A17" s="19">
        <v>579058176</v>
      </c>
      <c r="B17" s="19" t="s">
        <v>1152</v>
      </c>
      <c r="C17" s="19" t="s">
        <v>1153</v>
      </c>
      <c r="D17" s="19" t="s">
        <v>523</v>
      </c>
      <c r="E17" s="19" t="s">
        <v>1778</v>
      </c>
      <c r="F17" s="19">
        <v>508804198</v>
      </c>
      <c r="G17" s="19">
        <v>4</v>
      </c>
      <c r="H17" s="19">
        <v>4</v>
      </c>
      <c r="I17" s="19">
        <v>1470</v>
      </c>
      <c r="J17" s="25">
        <v>0.97687100000000004</v>
      </c>
      <c r="K17" s="26">
        <v>135.99851999999973</v>
      </c>
      <c r="L17" s="26">
        <v>2240</v>
      </c>
      <c r="M17" s="26">
        <v>9</v>
      </c>
      <c r="N17" s="26">
        <v>8</v>
      </c>
      <c r="O17" s="27">
        <v>17</v>
      </c>
      <c r="P17" s="19">
        <v>12</v>
      </c>
      <c r="Q17" s="19">
        <v>1</v>
      </c>
      <c r="R17" s="19" t="s">
        <v>1941</v>
      </c>
      <c r="S17" s="26">
        <v>805.67851999999925</v>
      </c>
      <c r="T17" s="28">
        <v>10</v>
      </c>
      <c r="U17" s="19" t="s">
        <v>1103</v>
      </c>
      <c r="V17" s="19">
        <v>0</v>
      </c>
      <c r="X17" t="b">
        <f>VLOOKUP(B17,'M10B Order'!B:F,5,FALSE)=W17</f>
        <v>1</v>
      </c>
    </row>
    <row r="18" spans="1:24" x14ac:dyDescent="0.2">
      <c r="A18" s="19">
        <v>569023442</v>
      </c>
      <c r="B18" s="19" t="s">
        <v>691</v>
      </c>
      <c r="C18" s="19" t="s">
        <v>692</v>
      </c>
      <c r="D18" s="19" t="s">
        <v>523</v>
      </c>
      <c r="E18" s="19" t="s">
        <v>1778</v>
      </c>
      <c r="F18" s="19">
        <v>508804198</v>
      </c>
      <c r="G18" s="19">
        <v>3</v>
      </c>
      <c r="H18" s="19">
        <v>3</v>
      </c>
      <c r="I18" s="19">
        <v>1897</v>
      </c>
      <c r="J18" s="25">
        <v>0.97416999999999998</v>
      </c>
      <c r="K18" s="26">
        <v>146.9985300000001</v>
      </c>
      <c r="L18" s="26">
        <v>3597</v>
      </c>
      <c r="M18" s="26">
        <v>9</v>
      </c>
      <c r="N18" s="26">
        <v>8</v>
      </c>
      <c r="O18" s="27">
        <v>17</v>
      </c>
      <c r="P18" s="19">
        <v>12</v>
      </c>
      <c r="Q18" s="19">
        <v>1</v>
      </c>
      <c r="R18" s="19" t="s">
        <v>1941</v>
      </c>
      <c r="S18" s="26">
        <v>773.75853000000029</v>
      </c>
      <c r="T18" s="28">
        <v>11</v>
      </c>
      <c r="U18" s="19" t="s">
        <v>858</v>
      </c>
      <c r="V18" s="19">
        <v>1491.2564480000005</v>
      </c>
      <c r="X18" t="b">
        <f>VLOOKUP(B18,'M10B Order'!B:F,5,FALSE)=W18</f>
        <v>1</v>
      </c>
    </row>
    <row r="19" spans="1:24" x14ac:dyDescent="0.2">
      <c r="A19" s="19">
        <v>567240458</v>
      </c>
      <c r="B19" s="19" t="s">
        <v>600</v>
      </c>
      <c r="C19" s="19" t="s">
        <v>599</v>
      </c>
      <c r="D19" s="19" t="s">
        <v>523</v>
      </c>
      <c r="E19" s="19" t="s">
        <v>1778</v>
      </c>
      <c r="F19" s="19">
        <v>508804198</v>
      </c>
      <c r="G19" s="19">
        <v>4</v>
      </c>
      <c r="H19" s="19">
        <v>4</v>
      </c>
      <c r="I19" s="19">
        <v>1897</v>
      </c>
      <c r="J19" s="25">
        <v>0.97838700000000001</v>
      </c>
      <c r="K19" s="26">
        <v>163.99944399999995</v>
      </c>
      <c r="L19" s="26">
        <v>2004</v>
      </c>
      <c r="M19" s="26">
        <v>9</v>
      </c>
      <c r="N19" s="26">
        <v>8</v>
      </c>
      <c r="O19" s="27">
        <v>17</v>
      </c>
      <c r="P19" s="19">
        <v>12</v>
      </c>
      <c r="Q19" s="19">
        <v>1</v>
      </c>
      <c r="R19" s="19" t="s">
        <v>1941</v>
      </c>
      <c r="S19" s="26">
        <v>730.41944400000011</v>
      </c>
      <c r="T19" s="28">
        <v>10</v>
      </c>
      <c r="U19" s="19" t="s">
        <v>107</v>
      </c>
      <c r="V19" s="19">
        <v>0</v>
      </c>
      <c r="X19" t="b">
        <f>VLOOKUP(B19,'M10B Order'!B:F,5,FALSE)=W19</f>
        <v>1</v>
      </c>
    </row>
    <row r="20" spans="1:24" x14ac:dyDescent="0.2">
      <c r="A20" s="19">
        <v>579058163</v>
      </c>
      <c r="B20" s="19" t="s">
        <v>1160</v>
      </c>
      <c r="C20" s="19" t="s">
        <v>1161</v>
      </c>
      <c r="D20" s="19" t="s">
        <v>523</v>
      </c>
      <c r="E20" s="19" t="s">
        <v>1778</v>
      </c>
      <c r="F20" s="19">
        <v>508804191</v>
      </c>
      <c r="G20" s="19">
        <v>4</v>
      </c>
      <c r="H20" s="19">
        <v>4</v>
      </c>
      <c r="I20" s="19">
        <v>1441</v>
      </c>
      <c r="J20" s="25">
        <v>0.92505199999999999</v>
      </c>
      <c r="K20" s="26">
        <v>432.00027200000011</v>
      </c>
      <c r="L20" s="26">
        <v>1824</v>
      </c>
      <c r="M20" s="26">
        <v>9</v>
      </c>
      <c r="N20" s="26">
        <v>6</v>
      </c>
      <c r="O20" s="27">
        <v>15</v>
      </c>
      <c r="P20" s="19">
        <v>12</v>
      </c>
      <c r="Q20" s="19">
        <v>1</v>
      </c>
      <c r="R20" s="19" t="s">
        <v>1939</v>
      </c>
      <c r="S20" s="26">
        <v>700.69999999999959</v>
      </c>
      <c r="T20" s="28">
        <v>9</v>
      </c>
      <c r="U20" s="19" t="s">
        <v>1397</v>
      </c>
      <c r="V20" s="19">
        <v>0</v>
      </c>
      <c r="X20" t="b">
        <f>VLOOKUP(B20,'M10B Order'!B:F,5,FALSE)=W20</f>
        <v>1</v>
      </c>
    </row>
    <row r="21" spans="1:24" x14ac:dyDescent="0.2">
      <c r="A21" s="19">
        <v>567148906</v>
      </c>
      <c r="B21" s="19" t="s">
        <v>535</v>
      </c>
      <c r="C21" s="19" t="s">
        <v>534</v>
      </c>
      <c r="D21" s="19" t="s">
        <v>523</v>
      </c>
      <c r="E21" s="19" t="s">
        <v>1778</v>
      </c>
      <c r="F21" s="19">
        <v>508804198</v>
      </c>
      <c r="G21" s="19">
        <v>4</v>
      </c>
      <c r="H21" s="19">
        <v>4</v>
      </c>
      <c r="I21" s="19">
        <v>829</v>
      </c>
      <c r="J21" s="25">
        <v>0.98793699999999995</v>
      </c>
      <c r="K21" s="26">
        <v>40.000908000000152</v>
      </c>
      <c r="L21" s="26">
        <v>2688</v>
      </c>
      <c r="M21" s="26">
        <v>9</v>
      </c>
      <c r="N21" s="26">
        <v>8</v>
      </c>
      <c r="O21" s="27">
        <v>17</v>
      </c>
      <c r="P21" s="19">
        <v>12</v>
      </c>
      <c r="Q21" s="19">
        <v>1</v>
      </c>
      <c r="R21" s="19" t="s">
        <v>1941</v>
      </c>
      <c r="S21" s="26">
        <v>675.13090799999964</v>
      </c>
      <c r="T21" s="28">
        <v>8</v>
      </c>
      <c r="U21" s="19" t="s">
        <v>389</v>
      </c>
      <c r="V21" s="19">
        <v>0</v>
      </c>
      <c r="X21" t="b">
        <f>VLOOKUP(B21,'M10B Order'!B:F,5,FALSE)=W21</f>
        <v>1</v>
      </c>
    </row>
    <row r="22" spans="1:24" x14ac:dyDescent="0.2">
      <c r="A22" s="19">
        <v>567148837</v>
      </c>
      <c r="B22" s="19" t="s">
        <v>579</v>
      </c>
      <c r="C22" s="19" t="s">
        <v>578</v>
      </c>
      <c r="D22" s="19" t="s">
        <v>523</v>
      </c>
      <c r="E22" s="19" t="s">
        <v>1778</v>
      </c>
      <c r="F22" s="19">
        <v>508804198</v>
      </c>
      <c r="G22" s="19">
        <v>4</v>
      </c>
      <c r="H22" s="19">
        <v>4</v>
      </c>
      <c r="I22" s="19">
        <v>2230</v>
      </c>
      <c r="J22" s="25">
        <v>0.96860999999999997</v>
      </c>
      <c r="K22" s="26">
        <v>279.99880000000024</v>
      </c>
      <c r="L22" s="26">
        <v>1584</v>
      </c>
      <c r="M22" s="26">
        <v>9</v>
      </c>
      <c r="N22" s="26">
        <v>8</v>
      </c>
      <c r="O22" s="27">
        <v>17</v>
      </c>
      <c r="P22" s="19">
        <v>12</v>
      </c>
      <c r="Q22" s="19">
        <v>1</v>
      </c>
      <c r="R22" s="19" t="s">
        <v>1941</v>
      </c>
      <c r="S22" s="26">
        <v>552.13879999999892</v>
      </c>
      <c r="T22" s="28">
        <v>11</v>
      </c>
      <c r="U22" s="19" t="s">
        <v>117</v>
      </c>
      <c r="V22" s="19">
        <v>1509.55</v>
      </c>
      <c r="X22" t="b">
        <f>VLOOKUP(B22,'M10B Order'!B:F,5,FALSE)=W22</f>
        <v>1</v>
      </c>
    </row>
    <row r="23" spans="1:24" x14ac:dyDescent="0.2">
      <c r="A23" s="19">
        <v>579058183</v>
      </c>
      <c r="B23" s="19" t="s">
        <v>1162</v>
      </c>
      <c r="C23" s="19" t="s">
        <v>1163</v>
      </c>
      <c r="D23" s="19" t="s">
        <v>523</v>
      </c>
      <c r="E23" s="19" t="s">
        <v>1778</v>
      </c>
      <c r="F23" s="19">
        <v>508804191</v>
      </c>
      <c r="G23" s="19">
        <v>4</v>
      </c>
      <c r="H23" s="19">
        <v>4</v>
      </c>
      <c r="I23" s="19">
        <v>2230</v>
      </c>
      <c r="J23" s="25">
        <v>0.95605399999999996</v>
      </c>
      <c r="K23" s="26">
        <v>391.99832000000038</v>
      </c>
      <c r="L23" s="26">
        <v>6500</v>
      </c>
      <c r="M23" s="26">
        <v>9</v>
      </c>
      <c r="N23" s="26">
        <v>6</v>
      </c>
      <c r="O23" s="27">
        <v>15</v>
      </c>
      <c r="P23" s="19">
        <v>12</v>
      </c>
      <c r="Q23" s="19">
        <v>1</v>
      </c>
      <c r="R23" s="19" t="s">
        <v>1939</v>
      </c>
      <c r="S23" s="26">
        <v>480.74831999999992</v>
      </c>
      <c r="T23" s="28">
        <v>12</v>
      </c>
      <c r="U23" s="19" t="s">
        <v>1401</v>
      </c>
      <c r="V23" s="19">
        <v>1114.0771199999995</v>
      </c>
      <c r="X23" t="b">
        <f>VLOOKUP(B23,'M10B Order'!B:F,5,FALSE)=W23</f>
        <v>1</v>
      </c>
    </row>
    <row r="24" spans="1:24" x14ac:dyDescent="0.2">
      <c r="A24" s="19">
        <v>567148806</v>
      </c>
      <c r="B24" s="19" t="s">
        <v>529</v>
      </c>
      <c r="C24" s="19" t="s">
        <v>528</v>
      </c>
      <c r="D24" s="19" t="s">
        <v>523</v>
      </c>
      <c r="E24" s="19" t="s">
        <v>1778</v>
      </c>
      <c r="F24" s="19">
        <v>508804198</v>
      </c>
      <c r="G24" s="19">
        <v>4</v>
      </c>
      <c r="H24" s="19">
        <v>4</v>
      </c>
      <c r="I24" s="19">
        <v>393</v>
      </c>
      <c r="J24" s="25">
        <v>0.98218799999999995</v>
      </c>
      <c r="K24" s="26">
        <v>28.000464000000079</v>
      </c>
      <c r="L24" s="26">
        <v>1112</v>
      </c>
      <c r="M24" s="26">
        <v>9</v>
      </c>
      <c r="N24" s="26">
        <v>8</v>
      </c>
      <c r="O24" s="27">
        <v>17</v>
      </c>
      <c r="P24" s="19">
        <v>12</v>
      </c>
      <c r="Q24" s="19">
        <v>1</v>
      </c>
      <c r="R24" s="19" t="s">
        <v>1941</v>
      </c>
      <c r="S24" s="26">
        <v>432.30046400000026</v>
      </c>
      <c r="T24" s="28">
        <v>6</v>
      </c>
      <c r="U24" s="19" t="s">
        <v>421</v>
      </c>
      <c r="V24" s="19" t="s">
        <v>431</v>
      </c>
      <c r="X24" t="b">
        <f>VLOOKUP(B24,'M10B Order'!B:F,5,FALSE)=W24</f>
        <v>1</v>
      </c>
    </row>
    <row r="25" spans="1:24" x14ac:dyDescent="0.2">
      <c r="A25" s="19">
        <v>569023450</v>
      </c>
      <c r="B25" s="19" t="s">
        <v>749</v>
      </c>
      <c r="C25" s="19" t="s">
        <v>750</v>
      </c>
      <c r="D25" s="19" t="s">
        <v>523</v>
      </c>
      <c r="E25" s="19" t="s">
        <v>1778</v>
      </c>
      <c r="F25" s="19">
        <v>508804198</v>
      </c>
      <c r="G25" s="19">
        <v>3</v>
      </c>
      <c r="H25" s="19">
        <v>3</v>
      </c>
      <c r="I25" s="19">
        <v>2230</v>
      </c>
      <c r="J25" s="25">
        <v>0.963229</v>
      </c>
      <c r="K25" s="26">
        <v>245.99798999999999</v>
      </c>
      <c r="L25" s="26">
        <v>2298</v>
      </c>
      <c r="M25" s="26">
        <v>9</v>
      </c>
      <c r="N25" s="26">
        <v>8</v>
      </c>
      <c r="O25" s="27">
        <v>17</v>
      </c>
      <c r="P25" s="19">
        <v>12</v>
      </c>
      <c r="Q25" s="19">
        <v>1</v>
      </c>
      <c r="R25" s="19" t="s">
        <v>1941</v>
      </c>
      <c r="S25" s="26">
        <v>425.0479900000006</v>
      </c>
      <c r="T25" s="28">
        <v>11</v>
      </c>
      <c r="U25" s="19" t="s">
        <v>926</v>
      </c>
      <c r="V25" s="19">
        <v>0</v>
      </c>
      <c r="X25" t="b">
        <f>VLOOKUP(B25,'M10B Order'!B:F,5,FALSE)=W25</f>
        <v>1</v>
      </c>
    </row>
    <row r="26" spans="1:24" x14ac:dyDescent="0.2">
      <c r="A26" s="19">
        <v>573626652</v>
      </c>
      <c r="B26" s="19" t="s">
        <v>1004</v>
      </c>
      <c r="C26" s="19" t="s">
        <v>1005</v>
      </c>
      <c r="D26" s="19" t="s">
        <v>523</v>
      </c>
      <c r="E26" s="19" t="s">
        <v>1778</v>
      </c>
      <c r="F26" s="19">
        <v>508804198</v>
      </c>
      <c r="G26" s="19">
        <v>4</v>
      </c>
      <c r="H26" s="19">
        <v>4</v>
      </c>
      <c r="I26" s="19">
        <v>2230</v>
      </c>
      <c r="J26" s="25">
        <v>0.98699599999999998</v>
      </c>
      <c r="K26" s="26">
        <v>115.99568000000014</v>
      </c>
      <c r="L26" s="26">
        <v>8112</v>
      </c>
      <c r="M26" s="26">
        <v>9</v>
      </c>
      <c r="N26" s="26">
        <v>8</v>
      </c>
      <c r="O26" s="27">
        <v>17</v>
      </c>
      <c r="P26" s="19">
        <v>12</v>
      </c>
      <c r="Q26" s="19">
        <v>1</v>
      </c>
      <c r="R26" s="19" t="s">
        <v>1941</v>
      </c>
      <c r="S26" s="26">
        <v>364.53567999999899</v>
      </c>
      <c r="T26" s="28">
        <v>12</v>
      </c>
      <c r="U26" s="19">
        <v>0</v>
      </c>
      <c r="V26" s="19" t="s">
        <v>431</v>
      </c>
      <c r="X26" t="b">
        <f>VLOOKUP(B26,'M10B Order'!B:F,5,FALSE)=W26</f>
        <v>1</v>
      </c>
    </row>
    <row r="27" spans="1:24" x14ac:dyDescent="0.2">
      <c r="A27" s="19">
        <v>567148890</v>
      </c>
      <c r="B27" s="19" t="s">
        <v>593</v>
      </c>
      <c r="C27" s="19" t="s">
        <v>592</v>
      </c>
      <c r="D27" s="19" t="s">
        <v>523</v>
      </c>
      <c r="E27" s="19" t="s">
        <v>1778</v>
      </c>
      <c r="F27" s="19">
        <v>508804198</v>
      </c>
      <c r="G27" s="19">
        <v>4</v>
      </c>
      <c r="H27" s="19">
        <v>4</v>
      </c>
      <c r="I27" s="19">
        <v>1897</v>
      </c>
      <c r="J27" s="25">
        <v>0.93568799999999996</v>
      </c>
      <c r="K27" s="26">
        <v>487.99945600000029</v>
      </c>
      <c r="L27" s="26">
        <v>1636</v>
      </c>
      <c r="M27" s="26">
        <v>9</v>
      </c>
      <c r="N27" s="26">
        <v>8</v>
      </c>
      <c r="O27" s="27">
        <v>17</v>
      </c>
      <c r="P27" s="19">
        <v>12</v>
      </c>
      <c r="Q27" s="19">
        <v>1</v>
      </c>
      <c r="R27" s="19" t="s">
        <v>1941</v>
      </c>
      <c r="S27" s="26">
        <v>290.55945599999984</v>
      </c>
      <c r="T27" s="28">
        <v>12</v>
      </c>
      <c r="U27" s="19" t="s">
        <v>169</v>
      </c>
      <c r="V27" s="19" t="s">
        <v>431</v>
      </c>
      <c r="X27" t="b">
        <f>VLOOKUP(B27,'M10B Order'!B:F,5,FALSE)=W27</f>
        <v>1</v>
      </c>
    </row>
    <row r="28" spans="1:24" x14ac:dyDescent="0.2">
      <c r="A28" s="19">
        <v>573626661</v>
      </c>
      <c r="B28" s="19" t="s">
        <v>1009</v>
      </c>
      <c r="C28" s="19" t="s">
        <v>1010</v>
      </c>
      <c r="D28" s="19" t="s">
        <v>523</v>
      </c>
      <c r="E28" s="19" t="s">
        <v>1778</v>
      </c>
      <c r="F28" s="19">
        <v>508804198</v>
      </c>
      <c r="G28" s="19">
        <v>4</v>
      </c>
      <c r="H28" s="19">
        <v>4</v>
      </c>
      <c r="I28" s="19">
        <v>2230</v>
      </c>
      <c r="J28" s="25">
        <v>0.98385699999999998</v>
      </c>
      <c r="K28" s="26">
        <v>143.99556000000015</v>
      </c>
      <c r="L28" s="26">
        <v>3568</v>
      </c>
      <c r="M28" s="26">
        <v>9</v>
      </c>
      <c r="N28" s="26">
        <v>8</v>
      </c>
      <c r="O28" s="27">
        <v>17</v>
      </c>
      <c r="P28" s="19">
        <v>12</v>
      </c>
      <c r="Q28" s="19">
        <v>1</v>
      </c>
      <c r="R28" s="19" t="s">
        <v>1941</v>
      </c>
      <c r="S28" s="26">
        <v>217.68556000000018</v>
      </c>
      <c r="T28" s="28">
        <v>13</v>
      </c>
      <c r="U28" s="19" t="s">
        <v>936</v>
      </c>
      <c r="V28" s="19">
        <v>0</v>
      </c>
      <c r="X28" t="b">
        <f>VLOOKUP(B28,'M10B Order'!B:F,5,FALSE)=W28</f>
        <v>1</v>
      </c>
    </row>
    <row r="29" spans="1:24" x14ac:dyDescent="0.2">
      <c r="A29" s="19">
        <v>567148860</v>
      </c>
      <c r="B29" s="19" t="s">
        <v>589</v>
      </c>
      <c r="C29" s="19" t="s">
        <v>588</v>
      </c>
      <c r="D29" s="19" t="s">
        <v>523</v>
      </c>
      <c r="E29" s="19" t="s">
        <v>1778</v>
      </c>
      <c r="F29" s="19">
        <v>508804198</v>
      </c>
      <c r="G29" s="19">
        <v>4</v>
      </c>
      <c r="H29" s="19">
        <v>4</v>
      </c>
      <c r="I29" s="19">
        <v>1897</v>
      </c>
      <c r="J29" s="25">
        <v>0.93726900000000002</v>
      </c>
      <c r="K29" s="26">
        <v>476.00282799999985</v>
      </c>
      <c r="L29" s="26">
        <v>1588</v>
      </c>
      <c r="M29" s="26">
        <v>9</v>
      </c>
      <c r="N29" s="26">
        <v>8</v>
      </c>
      <c r="O29" s="27">
        <v>17</v>
      </c>
      <c r="P29" s="19">
        <v>12</v>
      </c>
      <c r="Q29" s="19">
        <v>1</v>
      </c>
      <c r="R29" s="19" t="s">
        <v>1941</v>
      </c>
      <c r="S29" s="26">
        <v>207.62282800000034</v>
      </c>
      <c r="T29" s="28">
        <v>12</v>
      </c>
      <c r="U29" s="19" t="s">
        <v>401</v>
      </c>
      <c r="V29" s="19" t="s">
        <v>431</v>
      </c>
      <c r="X29" t="b">
        <f>VLOOKUP(B29,'M10B Order'!B:F,5,FALSE)=W29</f>
        <v>1</v>
      </c>
    </row>
    <row r="30" spans="1:24" x14ac:dyDescent="0.2">
      <c r="A30" s="19">
        <v>569042298</v>
      </c>
      <c r="B30" s="19" t="s">
        <v>689</v>
      </c>
      <c r="C30" s="19" t="s">
        <v>690</v>
      </c>
      <c r="D30" s="19" t="s">
        <v>523</v>
      </c>
      <c r="E30" s="19" t="s">
        <v>1778</v>
      </c>
      <c r="F30" s="19">
        <v>508804198</v>
      </c>
      <c r="G30" s="19">
        <v>3</v>
      </c>
      <c r="H30" s="19">
        <v>3</v>
      </c>
      <c r="I30" s="19">
        <v>2230</v>
      </c>
      <c r="J30" s="25">
        <v>0.872197</v>
      </c>
      <c r="K30" s="26">
        <v>855.00207</v>
      </c>
      <c r="L30" s="26">
        <v>1236</v>
      </c>
      <c r="M30" s="26">
        <v>9</v>
      </c>
      <c r="N30" s="26">
        <v>8</v>
      </c>
      <c r="O30" s="27">
        <v>17</v>
      </c>
      <c r="P30" s="19">
        <v>12</v>
      </c>
      <c r="Q30" s="19">
        <v>1</v>
      </c>
      <c r="R30" s="19" t="s">
        <v>1941</v>
      </c>
      <c r="S30" s="26">
        <v>173.81000000000103</v>
      </c>
      <c r="T30" s="28">
        <v>13</v>
      </c>
      <c r="U30" s="19" t="s">
        <v>854</v>
      </c>
      <c r="V30" s="19">
        <v>0</v>
      </c>
      <c r="X30" t="b">
        <f>VLOOKUP(B30,'M10B Order'!B:F,5,FALSE)=W30</f>
        <v>1</v>
      </c>
    </row>
    <row r="31" spans="1:24" x14ac:dyDescent="0.2">
      <c r="A31" s="19">
        <v>573626657</v>
      </c>
      <c r="B31" s="19" t="s">
        <v>1013</v>
      </c>
      <c r="C31" s="19" t="s">
        <v>1014</v>
      </c>
      <c r="D31" s="19" t="s">
        <v>523</v>
      </c>
      <c r="E31" s="19" t="s">
        <v>1778</v>
      </c>
      <c r="F31" s="19">
        <v>508804198</v>
      </c>
      <c r="G31" s="19">
        <v>4</v>
      </c>
      <c r="H31" s="19">
        <v>4</v>
      </c>
      <c r="I31" s="19">
        <v>2389</v>
      </c>
      <c r="J31" s="25">
        <v>0.96776899999999999</v>
      </c>
      <c r="K31" s="26">
        <v>307.99943600000012</v>
      </c>
      <c r="L31" s="26">
        <v>12328</v>
      </c>
      <c r="M31" s="26">
        <v>9</v>
      </c>
      <c r="N31" s="26">
        <v>8</v>
      </c>
      <c r="O31" s="27">
        <v>17</v>
      </c>
      <c r="P31" s="19">
        <v>12</v>
      </c>
      <c r="Q31" s="19">
        <v>1</v>
      </c>
      <c r="R31" s="19" t="s">
        <v>1941</v>
      </c>
      <c r="S31" s="26">
        <v>173.459436000003</v>
      </c>
      <c r="T31" s="28">
        <v>13</v>
      </c>
      <c r="U31" s="19" t="s">
        <v>952</v>
      </c>
      <c r="V31" s="19">
        <v>0</v>
      </c>
      <c r="X31" t="b">
        <f>VLOOKUP(B31,'M10B Order'!B:F,5,FALSE)=W31</f>
        <v>1</v>
      </c>
    </row>
    <row r="32" spans="1:24" x14ac:dyDescent="0.2">
      <c r="A32" s="19">
        <v>567148989</v>
      </c>
      <c r="B32" s="19" t="s">
        <v>542</v>
      </c>
      <c r="C32" s="19" t="s">
        <v>541</v>
      </c>
      <c r="D32" s="19" t="s">
        <v>523</v>
      </c>
      <c r="E32" s="19" t="s">
        <v>1778</v>
      </c>
      <c r="F32" s="19">
        <v>508804198</v>
      </c>
      <c r="G32" s="19">
        <v>4</v>
      </c>
      <c r="H32" s="19">
        <v>4</v>
      </c>
      <c r="I32" s="19">
        <v>829</v>
      </c>
      <c r="J32" s="25">
        <v>0.98673100000000002</v>
      </c>
      <c r="K32" s="26">
        <v>44.000003999999919</v>
      </c>
      <c r="L32" s="26">
        <v>3188</v>
      </c>
      <c r="M32" s="26">
        <v>9</v>
      </c>
      <c r="N32" s="26">
        <v>8</v>
      </c>
      <c r="O32" s="27">
        <v>17</v>
      </c>
      <c r="P32" s="19">
        <v>12</v>
      </c>
      <c r="Q32" s="19">
        <v>1</v>
      </c>
      <c r="R32" s="19" t="s">
        <v>1941</v>
      </c>
      <c r="S32" s="26">
        <v>106.83000400000044</v>
      </c>
      <c r="T32" s="28">
        <v>13</v>
      </c>
      <c r="U32" s="19" t="s">
        <v>237</v>
      </c>
      <c r="V32" s="19" t="s">
        <v>431</v>
      </c>
      <c r="X32" t="b">
        <f>VLOOKUP(B32,'M10B Order'!B:F,5,FALSE)=W32</f>
        <v>1</v>
      </c>
    </row>
    <row r="33" spans="1:24" x14ac:dyDescent="0.2">
      <c r="A33" s="19">
        <v>587520167</v>
      </c>
      <c r="B33" s="19" t="s">
        <v>1809</v>
      </c>
      <c r="C33" s="19" t="s">
        <v>1799</v>
      </c>
      <c r="D33" s="19" t="s">
        <v>1781</v>
      </c>
      <c r="E33" s="19" t="s">
        <v>1778</v>
      </c>
      <c r="F33" s="19">
        <v>508804191</v>
      </c>
      <c r="G33" s="19">
        <v>4</v>
      </c>
      <c r="H33" s="19">
        <v>4</v>
      </c>
      <c r="I33" s="19">
        <v>1484</v>
      </c>
      <c r="J33" s="25">
        <v>0.98517500000000002</v>
      </c>
      <c r="K33" s="26">
        <v>88.001199999999869</v>
      </c>
      <c r="L33" s="26">
        <v>3848</v>
      </c>
      <c r="M33" s="26">
        <v>9</v>
      </c>
      <c r="N33" s="26">
        <v>6</v>
      </c>
      <c r="O33" s="27">
        <v>15</v>
      </c>
      <c r="P33" s="19">
        <v>12</v>
      </c>
      <c r="Q33" s="19">
        <v>1</v>
      </c>
      <c r="R33" s="19" t="s">
        <v>1939</v>
      </c>
      <c r="S33" s="26">
        <v>1060.0811999999996</v>
      </c>
      <c r="T33" s="28">
        <v>8</v>
      </c>
      <c r="U33" s="19" t="s">
        <v>431</v>
      </c>
      <c r="V33" s="19" t="s">
        <v>431</v>
      </c>
      <c r="X33" t="b">
        <f>VLOOKUP(B33,'M10B Order'!B:F,5,FALSE)=W33</f>
        <v>1</v>
      </c>
    </row>
    <row r="34" spans="1:24" x14ac:dyDescent="0.2">
      <c r="A34" s="19">
        <v>587520166</v>
      </c>
      <c r="B34" s="19" t="s">
        <v>1812</v>
      </c>
      <c r="C34" s="19" t="s">
        <v>1813</v>
      </c>
      <c r="D34" s="19" t="s">
        <v>1781</v>
      </c>
      <c r="E34" s="19" t="s">
        <v>1778</v>
      </c>
      <c r="F34" s="19">
        <v>508804191</v>
      </c>
      <c r="G34" s="19">
        <v>4</v>
      </c>
      <c r="H34" s="19">
        <v>4</v>
      </c>
      <c r="I34" s="19">
        <v>843</v>
      </c>
      <c r="J34" s="25">
        <v>0.96441299999999996</v>
      </c>
      <c r="K34" s="26">
        <v>119.99936400000011</v>
      </c>
      <c r="L34" s="26">
        <v>2628</v>
      </c>
      <c r="M34" s="26">
        <v>9</v>
      </c>
      <c r="N34" s="26">
        <v>6</v>
      </c>
      <c r="O34" s="27">
        <v>15</v>
      </c>
      <c r="P34" s="19">
        <v>12</v>
      </c>
      <c r="Q34" s="19">
        <v>1</v>
      </c>
      <c r="R34" s="19" t="s">
        <v>1939</v>
      </c>
      <c r="S34" s="26">
        <v>598.26936400000091</v>
      </c>
      <c r="T34" s="28">
        <v>8</v>
      </c>
      <c r="U34" s="19" t="s">
        <v>431</v>
      </c>
      <c r="V34" s="19" t="s">
        <v>431</v>
      </c>
      <c r="X34" t="b">
        <f>VLOOKUP(B34,'M10B Order'!B:F,5,FALSE)=W34</f>
        <v>1</v>
      </c>
    </row>
    <row r="35" spans="1:24" x14ac:dyDescent="0.2">
      <c r="A35" s="19">
        <v>587520168</v>
      </c>
      <c r="B35" s="19" t="s">
        <v>1782</v>
      </c>
      <c r="C35" s="19" t="s">
        <v>1783</v>
      </c>
      <c r="D35" s="19" t="s">
        <v>1781</v>
      </c>
      <c r="E35" s="19" t="s">
        <v>1778</v>
      </c>
      <c r="F35" s="19">
        <v>508804191</v>
      </c>
      <c r="G35" s="19">
        <v>4</v>
      </c>
      <c r="H35" s="19">
        <v>4</v>
      </c>
      <c r="I35" s="19">
        <v>2244</v>
      </c>
      <c r="J35" s="25">
        <v>0.98128300000000002</v>
      </c>
      <c r="K35" s="26">
        <v>168.00379199999986</v>
      </c>
      <c r="L35" s="26">
        <v>6736</v>
      </c>
      <c r="M35" s="26">
        <v>9</v>
      </c>
      <c r="N35" s="26">
        <v>6</v>
      </c>
      <c r="O35" s="27">
        <v>15</v>
      </c>
      <c r="P35" s="19">
        <v>12</v>
      </c>
      <c r="Q35" s="19">
        <v>1</v>
      </c>
      <c r="R35" s="19" t="s">
        <v>1939</v>
      </c>
      <c r="S35" s="26">
        <v>590.85379199999784</v>
      </c>
      <c r="T35" s="28">
        <v>11</v>
      </c>
      <c r="U35" s="19" t="s">
        <v>1913</v>
      </c>
      <c r="V35" s="19">
        <v>0</v>
      </c>
      <c r="X35" t="b">
        <f>VLOOKUP(B35,'M10B Order'!B:F,5,FALSE)=W35</f>
        <v>1</v>
      </c>
    </row>
    <row r="36" spans="1:24" x14ac:dyDescent="0.2">
      <c r="A36" s="19">
        <v>587520153</v>
      </c>
      <c r="B36" s="19" t="s">
        <v>1786</v>
      </c>
      <c r="C36" s="19" t="s">
        <v>1787</v>
      </c>
      <c r="D36" s="19" t="s">
        <v>1781</v>
      </c>
      <c r="E36" s="19" t="s">
        <v>1778</v>
      </c>
      <c r="F36" s="19">
        <v>508804191</v>
      </c>
      <c r="G36" s="19">
        <v>4</v>
      </c>
      <c r="H36" s="19">
        <v>4</v>
      </c>
      <c r="I36" s="19">
        <v>407</v>
      </c>
      <c r="J36" s="25">
        <v>0.95331699999999997</v>
      </c>
      <c r="K36" s="26">
        <v>75.99992400000005</v>
      </c>
      <c r="L36" s="26">
        <v>560</v>
      </c>
      <c r="M36" s="26">
        <v>9</v>
      </c>
      <c r="N36" s="26">
        <v>6</v>
      </c>
      <c r="O36" s="27">
        <v>15</v>
      </c>
      <c r="P36" s="19">
        <v>12</v>
      </c>
      <c r="Q36" s="19">
        <v>1</v>
      </c>
      <c r="R36" s="19" t="s">
        <v>1939</v>
      </c>
      <c r="S36" s="26">
        <v>443.10999999999979</v>
      </c>
      <c r="T36" s="28">
        <v>9</v>
      </c>
      <c r="U36" s="19" t="s">
        <v>1831</v>
      </c>
      <c r="V36" s="19">
        <v>107.81921600000013</v>
      </c>
      <c r="X36" t="b">
        <f>VLOOKUP(B36,'M10B Order'!B:F,5,FALSE)=W36</f>
        <v>1</v>
      </c>
    </row>
    <row r="37" spans="1:24" x14ac:dyDescent="0.2">
      <c r="A37" s="19">
        <v>587520165</v>
      </c>
      <c r="B37" s="19" t="s">
        <v>1806</v>
      </c>
      <c r="C37" s="19" t="s">
        <v>1780</v>
      </c>
      <c r="D37" s="19" t="s">
        <v>1781</v>
      </c>
      <c r="E37" s="19" t="s">
        <v>1778</v>
      </c>
      <c r="F37" s="19">
        <v>508804191</v>
      </c>
      <c r="G37" s="19">
        <v>4</v>
      </c>
      <c r="H37" s="19">
        <v>4</v>
      </c>
      <c r="I37" s="19">
        <v>2244</v>
      </c>
      <c r="J37" s="25">
        <v>0.96524100000000002</v>
      </c>
      <c r="K37" s="26">
        <v>311.99678399999988</v>
      </c>
      <c r="L37" s="26">
        <v>8052</v>
      </c>
      <c r="M37" s="26">
        <v>9</v>
      </c>
      <c r="N37" s="26">
        <v>6</v>
      </c>
      <c r="O37" s="27">
        <v>15</v>
      </c>
      <c r="P37" s="19">
        <v>12</v>
      </c>
      <c r="Q37" s="19">
        <v>1</v>
      </c>
      <c r="R37" s="19" t="s">
        <v>1939</v>
      </c>
      <c r="S37" s="26">
        <v>388.57678399999884</v>
      </c>
      <c r="T37" s="28">
        <v>12</v>
      </c>
      <c r="U37" s="19" t="s">
        <v>1867</v>
      </c>
      <c r="V37" s="19">
        <v>0</v>
      </c>
      <c r="X37" t="b">
        <f>VLOOKUP(B37,'M10B Order'!B:F,5,FALSE)=W37</f>
        <v>1</v>
      </c>
    </row>
    <row r="38" spans="1:24" x14ac:dyDescent="0.2">
      <c r="A38" s="19">
        <v>587520236</v>
      </c>
      <c r="B38" s="19" t="s">
        <v>1816</v>
      </c>
      <c r="C38" s="19" t="s">
        <v>1780</v>
      </c>
      <c r="D38" s="19" t="s">
        <v>1781</v>
      </c>
      <c r="E38" s="19" t="s">
        <v>1778</v>
      </c>
      <c r="F38" s="19">
        <v>508804191</v>
      </c>
      <c r="G38" s="19">
        <v>4</v>
      </c>
      <c r="H38" s="19">
        <v>4</v>
      </c>
      <c r="I38" s="19">
        <v>1859</v>
      </c>
      <c r="J38" s="25">
        <v>0.97740700000000003</v>
      </c>
      <c r="K38" s="26">
        <v>168.00154799999981</v>
      </c>
      <c r="L38" s="26">
        <v>4472</v>
      </c>
      <c r="M38" s="26">
        <v>9</v>
      </c>
      <c r="N38" s="26">
        <v>6</v>
      </c>
      <c r="O38" s="27">
        <v>15</v>
      </c>
      <c r="P38" s="19">
        <v>12</v>
      </c>
      <c r="Q38" s="19">
        <v>1</v>
      </c>
      <c r="R38" s="19" t="s">
        <v>1939</v>
      </c>
      <c r="S38" s="26">
        <v>335.30154799999974</v>
      </c>
      <c r="T38" s="28">
        <v>12</v>
      </c>
      <c r="U38" s="19" t="s">
        <v>1886</v>
      </c>
      <c r="V38" s="19">
        <v>0</v>
      </c>
      <c r="X38" t="b">
        <f>VLOOKUP(B38,'M10B Order'!B:F,5,FALSE)=W38</f>
        <v>1</v>
      </c>
    </row>
    <row r="39" spans="1:24" x14ac:dyDescent="0.2">
      <c r="A39" s="19">
        <v>587520157</v>
      </c>
      <c r="B39" s="19" t="s">
        <v>1794</v>
      </c>
      <c r="C39" s="19" t="s">
        <v>1795</v>
      </c>
      <c r="D39" s="19" t="s">
        <v>1781</v>
      </c>
      <c r="E39" s="19" t="s">
        <v>1778</v>
      </c>
      <c r="F39" s="19">
        <v>508804191</v>
      </c>
      <c r="G39" s="19">
        <v>4</v>
      </c>
      <c r="H39" s="19">
        <v>4</v>
      </c>
      <c r="I39" s="19">
        <v>2243</v>
      </c>
      <c r="J39" s="25">
        <v>0.97102100000000002</v>
      </c>
      <c r="K39" s="26">
        <v>259.99958799999979</v>
      </c>
      <c r="L39" s="26">
        <v>5600</v>
      </c>
      <c r="M39" s="26">
        <v>9</v>
      </c>
      <c r="N39" s="26">
        <v>6</v>
      </c>
      <c r="O39" s="27">
        <v>15</v>
      </c>
      <c r="P39" s="19">
        <v>12</v>
      </c>
      <c r="Q39" s="19">
        <v>1</v>
      </c>
      <c r="R39" s="19" t="s">
        <v>1939</v>
      </c>
      <c r="S39" s="26">
        <v>294.76958800000062</v>
      </c>
      <c r="T39" s="28">
        <v>13</v>
      </c>
      <c r="U39" s="19" t="s">
        <v>431</v>
      </c>
      <c r="V39" s="19" t="s">
        <v>431</v>
      </c>
      <c r="X39" t="b">
        <f>VLOOKUP(B39,'M10B Order'!B:F,5,FALSE)=W39</f>
        <v>1</v>
      </c>
    </row>
    <row r="40" spans="1:24" x14ac:dyDescent="0.2">
      <c r="A40" s="19">
        <v>587520175</v>
      </c>
      <c r="B40" s="19" t="s">
        <v>1821</v>
      </c>
      <c r="C40" s="19" t="s">
        <v>1822</v>
      </c>
      <c r="D40" s="19" t="s">
        <v>1781</v>
      </c>
      <c r="E40" s="19" t="s">
        <v>1778</v>
      </c>
      <c r="F40" s="19">
        <v>508804191</v>
      </c>
      <c r="G40" s="19">
        <v>4</v>
      </c>
      <c r="H40" s="19">
        <v>4</v>
      </c>
      <c r="I40" s="19">
        <v>2243</v>
      </c>
      <c r="J40" s="25">
        <v>0.97414199999999995</v>
      </c>
      <c r="K40" s="26">
        <v>231.99797600000042</v>
      </c>
      <c r="L40" s="26">
        <v>5748</v>
      </c>
      <c r="M40" s="26">
        <v>9</v>
      </c>
      <c r="N40" s="26">
        <v>6</v>
      </c>
      <c r="O40" s="27">
        <v>15</v>
      </c>
      <c r="P40" s="19">
        <v>12</v>
      </c>
      <c r="Q40" s="19">
        <v>1</v>
      </c>
      <c r="R40" s="19" t="s">
        <v>1939</v>
      </c>
      <c r="S40" s="26">
        <v>221.21797600000008</v>
      </c>
      <c r="T40" s="28">
        <v>13</v>
      </c>
      <c r="U40" s="19" t="s">
        <v>1888</v>
      </c>
      <c r="V40" s="19">
        <v>99.188424000000168</v>
      </c>
      <c r="X40" t="b">
        <f>VLOOKUP(B40,'M10B Order'!B:F,5,FALSE)=W40</f>
        <v>1</v>
      </c>
    </row>
    <row r="41" spans="1:24" x14ac:dyDescent="0.2">
      <c r="A41" s="19">
        <v>587520147</v>
      </c>
      <c r="B41" s="19" t="s">
        <v>1779</v>
      </c>
      <c r="C41" s="19" t="s">
        <v>1780</v>
      </c>
      <c r="D41" s="19" t="s">
        <v>1781</v>
      </c>
      <c r="E41" s="19" t="s">
        <v>1778</v>
      </c>
      <c r="F41" s="19">
        <v>508804191</v>
      </c>
      <c r="G41" s="19">
        <v>4</v>
      </c>
      <c r="H41" s="19">
        <v>4</v>
      </c>
      <c r="I41" s="19">
        <v>2244</v>
      </c>
      <c r="J41" s="25">
        <v>0.97237099999999999</v>
      </c>
      <c r="K41" s="26">
        <v>247.99790400000012</v>
      </c>
      <c r="L41" s="26">
        <v>5932</v>
      </c>
      <c r="M41" s="26">
        <v>9</v>
      </c>
      <c r="N41" s="26">
        <v>6</v>
      </c>
      <c r="O41" s="27">
        <v>15</v>
      </c>
      <c r="P41" s="19">
        <v>12</v>
      </c>
      <c r="Q41" s="19">
        <v>1</v>
      </c>
      <c r="R41" s="19" t="s">
        <v>1939</v>
      </c>
      <c r="S41" s="26">
        <v>158.46790399999833</v>
      </c>
      <c r="T41" s="28">
        <v>13</v>
      </c>
      <c r="U41" s="19" t="s">
        <v>431</v>
      </c>
      <c r="V41" s="19" t="s">
        <v>431</v>
      </c>
      <c r="X41" t="b">
        <f>VLOOKUP(B41,'M10B Order'!B:F,5,FALSE)=W41</f>
        <v>1</v>
      </c>
    </row>
    <row r="42" spans="1:24" x14ac:dyDescent="0.2">
      <c r="A42" s="19">
        <v>587520160</v>
      </c>
      <c r="B42" s="19" t="s">
        <v>1800</v>
      </c>
      <c r="C42" s="19" t="s">
        <v>1801</v>
      </c>
      <c r="D42" s="19" t="s">
        <v>1781</v>
      </c>
      <c r="E42" s="19" t="s">
        <v>1778</v>
      </c>
      <c r="F42" s="19">
        <v>508804191</v>
      </c>
      <c r="G42" s="19">
        <v>4</v>
      </c>
      <c r="H42" s="19">
        <v>4</v>
      </c>
      <c r="I42" s="19">
        <v>407</v>
      </c>
      <c r="J42" s="25">
        <v>0.95331699999999997</v>
      </c>
      <c r="K42" s="26">
        <v>75.99992400000005</v>
      </c>
      <c r="L42" s="26">
        <v>1440</v>
      </c>
      <c r="M42" s="26">
        <v>9</v>
      </c>
      <c r="N42" s="26">
        <v>6</v>
      </c>
      <c r="O42" s="27">
        <v>15</v>
      </c>
      <c r="P42" s="19">
        <v>12</v>
      </c>
      <c r="Q42" s="19">
        <v>1</v>
      </c>
      <c r="R42" s="19" t="s">
        <v>1939</v>
      </c>
      <c r="S42" s="26">
        <v>116.17992400000031</v>
      </c>
      <c r="T42" s="28">
        <v>11</v>
      </c>
      <c r="U42" s="19" t="s">
        <v>1884</v>
      </c>
      <c r="V42" s="19">
        <v>0</v>
      </c>
      <c r="X42" t="b">
        <f>VLOOKUP(B42,'M10B Order'!B:F,5,FALSE)=W42</f>
        <v>1</v>
      </c>
    </row>
    <row r="43" spans="1:24" x14ac:dyDescent="0.2">
      <c r="A43" s="19">
        <v>587520162</v>
      </c>
      <c r="B43" s="19" t="s">
        <v>1796</v>
      </c>
      <c r="C43" s="19" t="s">
        <v>1797</v>
      </c>
      <c r="D43" s="19" t="s">
        <v>1781</v>
      </c>
      <c r="E43" s="19" t="s">
        <v>1778</v>
      </c>
      <c r="F43" s="19">
        <v>508804191</v>
      </c>
      <c r="G43" s="19">
        <v>4</v>
      </c>
      <c r="H43" s="19">
        <v>4</v>
      </c>
      <c r="I43" s="19">
        <v>407</v>
      </c>
      <c r="J43" s="25">
        <v>0.948403</v>
      </c>
      <c r="K43" s="26">
        <v>83.999916000000013</v>
      </c>
      <c r="L43" s="26">
        <v>640</v>
      </c>
      <c r="M43" s="26">
        <v>9</v>
      </c>
      <c r="N43" s="26">
        <v>6</v>
      </c>
      <c r="O43" s="27">
        <v>15</v>
      </c>
      <c r="P43" s="19">
        <v>12</v>
      </c>
      <c r="Q43" s="19">
        <v>1</v>
      </c>
      <c r="R43" s="19" t="s">
        <v>1939</v>
      </c>
      <c r="S43" s="26">
        <v>112.08991599999987</v>
      </c>
      <c r="T43" s="28">
        <v>9</v>
      </c>
      <c r="U43" s="19" t="s">
        <v>431</v>
      </c>
      <c r="V43" s="19" t="s">
        <v>431</v>
      </c>
      <c r="X43" t="b">
        <f>VLOOKUP(B43,'M10B Order'!B:F,5,FALSE)=W43</f>
        <v>1</v>
      </c>
    </row>
    <row r="44" spans="1:24" x14ac:dyDescent="0.2">
      <c r="A44" s="19">
        <v>587520159</v>
      </c>
      <c r="B44" s="19" t="s">
        <v>1792</v>
      </c>
      <c r="C44" s="19" t="s">
        <v>1793</v>
      </c>
      <c r="D44" s="19" t="s">
        <v>1781</v>
      </c>
      <c r="E44" s="19" t="s">
        <v>1778</v>
      </c>
      <c r="F44" s="19">
        <v>508804191</v>
      </c>
      <c r="G44" s="19">
        <v>4</v>
      </c>
      <c r="H44" s="19">
        <v>4</v>
      </c>
      <c r="I44" s="19">
        <v>843</v>
      </c>
      <c r="J44" s="25">
        <v>0.97746100000000002</v>
      </c>
      <c r="K44" s="26">
        <v>76.001507999999916</v>
      </c>
      <c r="L44" s="26">
        <v>2672</v>
      </c>
      <c r="M44" s="26">
        <v>9</v>
      </c>
      <c r="N44" s="26">
        <v>6</v>
      </c>
      <c r="O44" s="27">
        <v>15</v>
      </c>
      <c r="P44" s="19">
        <v>12</v>
      </c>
      <c r="Q44" s="19">
        <v>1</v>
      </c>
      <c r="R44" s="19" t="s">
        <v>1939</v>
      </c>
      <c r="S44" s="26">
        <v>77.461507999999924</v>
      </c>
      <c r="T44" s="28">
        <v>13</v>
      </c>
      <c r="U44" s="19" t="s">
        <v>1909</v>
      </c>
      <c r="V44" s="19">
        <v>0</v>
      </c>
      <c r="X44" t="b">
        <f>VLOOKUP(B44,'M10B Order'!B:F,5,FALSE)=W44</f>
        <v>1</v>
      </c>
    </row>
    <row r="45" spans="1:24" x14ac:dyDescent="0.2">
      <c r="A45" s="19">
        <v>587520172</v>
      </c>
      <c r="B45" s="19" t="s">
        <v>1810</v>
      </c>
      <c r="C45" s="19" t="s">
        <v>1811</v>
      </c>
      <c r="D45" s="19" t="s">
        <v>1781</v>
      </c>
      <c r="E45" s="19" t="s">
        <v>1778</v>
      </c>
      <c r="F45" s="19">
        <v>508804191</v>
      </c>
      <c r="G45" s="19">
        <v>4</v>
      </c>
      <c r="H45" s="19">
        <v>4</v>
      </c>
      <c r="I45" s="19">
        <v>1484</v>
      </c>
      <c r="J45" s="25">
        <v>0.97439399999999998</v>
      </c>
      <c r="K45" s="26">
        <v>151.99721600000009</v>
      </c>
      <c r="L45" s="26">
        <v>3711</v>
      </c>
      <c r="M45" s="26">
        <v>9</v>
      </c>
      <c r="N45" s="26">
        <v>6</v>
      </c>
      <c r="O45" s="27">
        <v>15</v>
      </c>
      <c r="P45" s="19">
        <v>12</v>
      </c>
      <c r="Q45" s="19">
        <v>1</v>
      </c>
      <c r="R45" s="19" t="s">
        <v>1939</v>
      </c>
      <c r="S45" s="26">
        <v>62.187215999999694</v>
      </c>
      <c r="T45" s="28">
        <v>13</v>
      </c>
      <c r="U45" s="19" t="s">
        <v>1892</v>
      </c>
      <c r="V45" s="19">
        <v>229.86553599999985</v>
      </c>
      <c r="X45" t="b">
        <f>VLOOKUP(B45,'M10B Order'!B:F,5,FALSE)=W45</f>
        <v>1</v>
      </c>
    </row>
    <row r="46" spans="1:24" x14ac:dyDescent="0.2">
      <c r="A46" s="19">
        <v>587520169</v>
      </c>
      <c r="B46" s="19" t="s">
        <v>1798</v>
      </c>
      <c r="C46" s="19" t="s">
        <v>1799</v>
      </c>
      <c r="D46" s="19" t="s">
        <v>1781</v>
      </c>
      <c r="E46" s="19" t="s">
        <v>1778</v>
      </c>
      <c r="F46" s="19">
        <v>508804191</v>
      </c>
      <c r="G46" s="19">
        <v>4</v>
      </c>
      <c r="H46" s="19">
        <v>4</v>
      </c>
      <c r="I46" s="19">
        <v>2244</v>
      </c>
      <c r="J46" s="25">
        <v>0.98484799999999995</v>
      </c>
      <c r="K46" s="26">
        <v>136.00435200000049</v>
      </c>
      <c r="L46" s="26">
        <v>6392</v>
      </c>
      <c r="M46" s="26">
        <v>9</v>
      </c>
      <c r="N46" s="26">
        <v>6</v>
      </c>
      <c r="O46" s="27">
        <v>15</v>
      </c>
      <c r="P46" s="19">
        <v>12</v>
      </c>
      <c r="Q46" s="19">
        <v>1</v>
      </c>
      <c r="R46" s="19" t="s">
        <v>1939</v>
      </c>
      <c r="S46" s="26">
        <v>42.884352000001286</v>
      </c>
      <c r="T46" s="28">
        <v>13</v>
      </c>
      <c r="U46" s="19" t="s">
        <v>1855</v>
      </c>
      <c r="V46" s="19">
        <v>107.50371200000043</v>
      </c>
      <c r="X46" t="b">
        <f>VLOOKUP(B46,'M10B Order'!B:F,5,FALSE)=W46</f>
        <v>1</v>
      </c>
    </row>
    <row r="47" spans="1:24" x14ac:dyDescent="0.2">
      <c r="A47" s="19">
        <v>569033505</v>
      </c>
      <c r="B47" s="19" t="s">
        <v>652</v>
      </c>
      <c r="C47" s="19" t="s">
        <v>653</v>
      </c>
      <c r="D47" s="19" t="s">
        <v>645</v>
      </c>
      <c r="E47" s="19" t="s">
        <v>1777</v>
      </c>
      <c r="F47" s="19">
        <v>508804198</v>
      </c>
      <c r="G47" s="19">
        <v>4</v>
      </c>
      <c r="H47" s="19">
        <v>4</v>
      </c>
      <c r="I47" s="19">
        <v>2388</v>
      </c>
      <c r="J47" s="25">
        <v>0.97110600000000002</v>
      </c>
      <c r="K47" s="26">
        <v>275.99548799999974</v>
      </c>
      <c r="L47" s="26">
        <v>18636</v>
      </c>
      <c r="M47" s="26">
        <v>9</v>
      </c>
      <c r="N47" s="26">
        <v>8</v>
      </c>
      <c r="O47" s="27">
        <v>17</v>
      </c>
      <c r="P47" s="19">
        <v>22</v>
      </c>
      <c r="Q47" s="19">
        <v>4</v>
      </c>
      <c r="R47" s="19" t="s">
        <v>1941</v>
      </c>
      <c r="S47" s="26">
        <v>11543.05999999999</v>
      </c>
      <c r="T47" s="28">
        <v>21</v>
      </c>
      <c r="U47" s="19" t="s">
        <v>5</v>
      </c>
      <c r="V47" s="19">
        <v>17798.050063999995</v>
      </c>
      <c r="X47" t="b">
        <f>VLOOKUP(B47,'M10B Order'!B:F,5,FALSE)=W47</f>
        <v>1</v>
      </c>
    </row>
    <row r="48" spans="1:24" x14ac:dyDescent="0.2">
      <c r="A48" s="19">
        <v>569023430</v>
      </c>
      <c r="B48" s="19" t="s">
        <v>668</v>
      </c>
      <c r="C48" s="19" t="s">
        <v>669</v>
      </c>
      <c r="D48" s="19" t="s">
        <v>645</v>
      </c>
      <c r="E48" s="19" t="s">
        <v>1777</v>
      </c>
      <c r="F48" s="19">
        <v>508804198</v>
      </c>
      <c r="G48" s="19">
        <v>4</v>
      </c>
      <c r="H48" s="19">
        <v>4</v>
      </c>
      <c r="I48" s="19">
        <v>1897</v>
      </c>
      <c r="J48" s="25">
        <v>0.93674199999999996</v>
      </c>
      <c r="K48" s="26">
        <v>480.0017040000003</v>
      </c>
      <c r="L48" s="26">
        <v>3060</v>
      </c>
      <c r="M48" s="26">
        <v>9</v>
      </c>
      <c r="N48" s="26">
        <v>8</v>
      </c>
      <c r="O48" s="27">
        <v>17</v>
      </c>
      <c r="P48" s="19">
        <v>22</v>
      </c>
      <c r="Q48" s="19">
        <v>4</v>
      </c>
      <c r="R48" s="19" t="s">
        <v>1941</v>
      </c>
      <c r="S48" s="26">
        <v>4635.5617040000006</v>
      </c>
      <c r="T48" s="28">
        <v>11</v>
      </c>
      <c r="U48" s="19" t="s">
        <v>91</v>
      </c>
      <c r="V48" s="19">
        <v>0</v>
      </c>
      <c r="X48" t="b">
        <f>VLOOKUP(B48,'M10B Order'!B:F,5,FALSE)=W48</f>
        <v>1</v>
      </c>
    </row>
    <row r="49" spans="1:24" x14ac:dyDescent="0.2">
      <c r="A49" s="19">
        <v>569023441</v>
      </c>
      <c r="B49" s="19" t="s">
        <v>672</v>
      </c>
      <c r="C49" s="19" t="s">
        <v>673</v>
      </c>
      <c r="D49" s="19" t="s">
        <v>645</v>
      </c>
      <c r="E49" s="19" t="s">
        <v>1777</v>
      </c>
      <c r="F49" s="19">
        <v>508804198</v>
      </c>
      <c r="G49" s="19">
        <v>4</v>
      </c>
      <c r="H49" s="19">
        <v>4</v>
      </c>
      <c r="I49" s="19">
        <v>2389</v>
      </c>
      <c r="J49" s="25">
        <v>0.96818800000000005</v>
      </c>
      <c r="K49" s="26">
        <v>303.99547199999955</v>
      </c>
      <c r="L49" s="26">
        <v>22560</v>
      </c>
      <c r="M49" s="26">
        <v>9</v>
      </c>
      <c r="N49" s="26">
        <v>8</v>
      </c>
      <c r="O49" s="27">
        <v>17</v>
      </c>
      <c r="P49" s="19">
        <v>22</v>
      </c>
      <c r="Q49" s="19">
        <v>4</v>
      </c>
      <c r="R49" s="19" t="s">
        <v>1941</v>
      </c>
      <c r="S49" s="26">
        <v>3130.8054720000009</v>
      </c>
      <c r="T49" s="28">
        <v>21</v>
      </c>
      <c r="U49" s="19" t="s">
        <v>95</v>
      </c>
      <c r="V49" s="19">
        <v>0</v>
      </c>
      <c r="W49" s="19"/>
      <c r="X49" t="b">
        <f>VLOOKUP(B49,'M10B Order'!B:F,5,FALSE)=W49</f>
        <v>1</v>
      </c>
    </row>
    <row r="50" spans="1:24" x14ac:dyDescent="0.2">
      <c r="A50" s="19">
        <v>569042309</v>
      </c>
      <c r="B50" s="19" t="s">
        <v>650</v>
      </c>
      <c r="C50" s="19" t="s">
        <v>651</v>
      </c>
      <c r="D50" s="19" t="s">
        <v>645</v>
      </c>
      <c r="E50" s="19" t="s">
        <v>1777</v>
      </c>
      <c r="F50" s="19">
        <v>508804198</v>
      </c>
      <c r="G50" s="19">
        <v>4</v>
      </c>
      <c r="H50" s="19">
        <v>4</v>
      </c>
      <c r="I50" s="19">
        <v>2389</v>
      </c>
      <c r="J50" s="25">
        <v>0.95144399999999996</v>
      </c>
      <c r="K50" s="26">
        <v>464.00113600000043</v>
      </c>
      <c r="L50" s="26">
        <v>9460</v>
      </c>
      <c r="M50" s="26">
        <v>9</v>
      </c>
      <c r="N50" s="26">
        <v>8</v>
      </c>
      <c r="O50" s="27">
        <v>17</v>
      </c>
      <c r="P50" s="19">
        <v>22</v>
      </c>
      <c r="Q50" s="19">
        <v>4</v>
      </c>
      <c r="R50" s="19" t="s">
        <v>1941</v>
      </c>
      <c r="S50" s="26">
        <v>1067.3211360000018</v>
      </c>
      <c r="T50" s="28">
        <v>25</v>
      </c>
      <c r="U50" s="19" t="s">
        <v>11</v>
      </c>
      <c r="V50" s="19">
        <v>0</v>
      </c>
      <c r="W50" s="19"/>
      <c r="X50" t="b">
        <f>VLOOKUP(B50,'M10B Order'!B:F,5,FALSE)=W50</f>
        <v>1</v>
      </c>
    </row>
    <row r="51" spans="1:24" x14ac:dyDescent="0.2">
      <c r="A51" s="19">
        <v>569033498</v>
      </c>
      <c r="B51" s="19" t="s">
        <v>670</v>
      </c>
      <c r="C51" s="19" t="s">
        <v>671</v>
      </c>
      <c r="D51" s="19" t="s">
        <v>645</v>
      </c>
      <c r="E51" s="19" t="s">
        <v>1777</v>
      </c>
      <c r="F51" s="19">
        <v>508804198</v>
      </c>
      <c r="G51" s="19">
        <v>4</v>
      </c>
      <c r="H51" s="19">
        <v>4</v>
      </c>
      <c r="I51" s="19">
        <v>2389</v>
      </c>
      <c r="J51" s="25">
        <v>0.95646699999999996</v>
      </c>
      <c r="K51" s="26">
        <v>416.00134800000041</v>
      </c>
      <c r="L51" s="26">
        <v>12872</v>
      </c>
      <c r="M51" s="26">
        <v>9</v>
      </c>
      <c r="N51" s="26">
        <v>8</v>
      </c>
      <c r="O51" s="27">
        <v>17</v>
      </c>
      <c r="P51" s="19">
        <v>22</v>
      </c>
      <c r="Q51" s="19">
        <v>4</v>
      </c>
      <c r="R51" s="19" t="s">
        <v>1941</v>
      </c>
      <c r="S51" s="26">
        <v>504.90134799999305</v>
      </c>
      <c r="T51" s="28">
        <v>26</v>
      </c>
      <c r="U51" s="19" t="s">
        <v>121</v>
      </c>
      <c r="V51" s="19">
        <v>3520.6858879999982</v>
      </c>
      <c r="W51" s="19"/>
      <c r="X51" t="b">
        <f>VLOOKUP(B51,'M10B Order'!B:F,5,FALSE)=W51</f>
        <v>1</v>
      </c>
    </row>
    <row r="52" spans="1:24" x14ac:dyDescent="0.2">
      <c r="A52" s="19">
        <v>569023426</v>
      </c>
      <c r="B52" s="19" t="s">
        <v>648</v>
      </c>
      <c r="C52" s="19" t="s">
        <v>649</v>
      </c>
      <c r="D52" s="19" t="s">
        <v>645</v>
      </c>
      <c r="E52" s="19" t="s">
        <v>1777</v>
      </c>
      <c r="F52" s="19">
        <v>508804198</v>
      </c>
      <c r="G52" s="19">
        <v>4</v>
      </c>
      <c r="H52" s="19">
        <v>4</v>
      </c>
      <c r="I52" s="19">
        <v>2389</v>
      </c>
      <c r="J52" s="25">
        <v>0.97865199999999997</v>
      </c>
      <c r="K52" s="26">
        <v>204.00148800000031</v>
      </c>
      <c r="L52" s="26">
        <v>10440</v>
      </c>
      <c r="M52" s="26">
        <v>9</v>
      </c>
      <c r="N52" s="26">
        <v>8</v>
      </c>
      <c r="O52" s="27">
        <v>17</v>
      </c>
      <c r="P52" s="19">
        <v>22</v>
      </c>
      <c r="Q52" s="19">
        <v>4</v>
      </c>
      <c r="R52" s="19" t="s">
        <v>1941</v>
      </c>
      <c r="S52" s="26">
        <v>435.66148800000065</v>
      </c>
      <c r="T52" s="28">
        <v>26</v>
      </c>
      <c r="U52" s="19" t="s">
        <v>784</v>
      </c>
      <c r="V52" s="19">
        <v>0</v>
      </c>
      <c r="W52" s="19"/>
      <c r="X52" t="b">
        <f>VLOOKUP(B52,'M10B Order'!B:F,5,FALSE)=W52</f>
        <v>1</v>
      </c>
    </row>
    <row r="53" spans="1:24" x14ac:dyDescent="0.2">
      <c r="A53" s="19">
        <v>569033286</v>
      </c>
      <c r="B53" s="19" t="s">
        <v>654</v>
      </c>
      <c r="C53" s="19" t="s">
        <v>655</v>
      </c>
      <c r="D53" s="19" t="s">
        <v>645</v>
      </c>
      <c r="E53" s="19" t="s">
        <v>1777</v>
      </c>
      <c r="F53" s="19">
        <v>508804198</v>
      </c>
      <c r="G53" s="19">
        <v>4</v>
      </c>
      <c r="H53" s="19">
        <v>4</v>
      </c>
      <c r="I53" s="19">
        <v>2389</v>
      </c>
      <c r="J53" s="25">
        <v>0.97195500000000001</v>
      </c>
      <c r="K53" s="26">
        <v>267.99801999999988</v>
      </c>
      <c r="L53" s="26">
        <v>14512</v>
      </c>
      <c r="M53" s="26">
        <v>9</v>
      </c>
      <c r="N53" s="26">
        <v>8</v>
      </c>
      <c r="O53" s="27">
        <v>17</v>
      </c>
      <c r="P53" s="19">
        <v>22</v>
      </c>
      <c r="Q53" s="19">
        <v>4</v>
      </c>
      <c r="R53" s="19" t="s">
        <v>1941</v>
      </c>
      <c r="S53" s="26">
        <v>432.56802000000357</v>
      </c>
      <c r="T53" s="28">
        <v>26</v>
      </c>
      <c r="U53" s="19" t="s">
        <v>99</v>
      </c>
      <c r="V53" s="19">
        <v>0</v>
      </c>
      <c r="W53" s="19"/>
      <c r="X53" t="b">
        <f>VLOOKUP(B53,'M10B Order'!B:F,5,FALSE)=W53</f>
        <v>1</v>
      </c>
    </row>
    <row r="54" spans="1:24" x14ac:dyDescent="0.2">
      <c r="A54" s="19">
        <v>569033453</v>
      </c>
      <c r="B54" s="19" t="s">
        <v>636</v>
      </c>
      <c r="C54" s="19" t="s">
        <v>637</v>
      </c>
      <c r="D54" s="19" t="s">
        <v>605</v>
      </c>
      <c r="E54" s="19" t="s">
        <v>1777</v>
      </c>
      <c r="F54" s="19">
        <v>508804198</v>
      </c>
      <c r="G54" s="19">
        <v>2</v>
      </c>
      <c r="H54" s="19">
        <v>2</v>
      </c>
      <c r="I54" s="19">
        <v>3459</v>
      </c>
      <c r="J54" s="25">
        <v>0.899393</v>
      </c>
      <c r="K54" s="26">
        <v>695.99922600000002</v>
      </c>
      <c r="L54" s="26">
        <v>0</v>
      </c>
      <c r="M54" s="26">
        <v>9</v>
      </c>
      <c r="N54" s="26">
        <v>8</v>
      </c>
      <c r="O54" s="27">
        <v>17</v>
      </c>
      <c r="P54" s="19">
        <v>12</v>
      </c>
      <c r="Q54" s="19">
        <v>4</v>
      </c>
      <c r="R54" s="19" t="s">
        <v>1941</v>
      </c>
      <c r="S54" s="26">
        <v>19146.350000000002</v>
      </c>
      <c r="T54" s="28">
        <v>0</v>
      </c>
      <c r="U54" s="19" t="s">
        <v>428</v>
      </c>
      <c r="V54" s="19">
        <v>10911.910199999998</v>
      </c>
      <c r="W54" s="26">
        <v>19146.350000000002</v>
      </c>
      <c r="X54" t="b">
        <f>VLOOKUP(B54,'M10B Order'!B:F,5,FALSE)=W54</f>
        <v>1</v>
      </c>
    </row>
    <row r="55" spans="1:24" x14ac:dyDescent="0.2">
      <c r="A55" s="19">
        <v>569023425</v>
      </c>
      <c r="B55" s="19" t="s">
        <v>634</v>
      </c>
      <c r="C55" s="19" t="s">
        <v>635</v>
      </c>
      <c r="D55" s="19" t="s">
        <v>605</v>
      </c>
      <c r="E55" s="19" t="s">
        <v>1777</v>
      </c>
      <c r="F55" s="19">
        <v>508804198</v>
      </c>
      <c r="G55" s="19">
        <v>2</v>
      </c>
      <c r="H55" s="19">
        <v>2</v>
      </c>
      <c r="I55" s="19">
        <v>3458</v>
      </c>
      <c r="J55" s="25">
        <v>0.79178700000000002</v>
      </c>
      <c r="K55" s="26">
        <v>1440.0011079999999</v>
      </c>
      <c r="L55" s="26">
        <v>0</v>
      </c>
      <c r="M55" s="26">
        <v>9</v>
      </c>
      <c r="N55" s="26">
        <v>8</v>
      </c>
      <c r="O55" s="27">
        <v>17</v>
      </c>
      <c r="P55" s="19">
        <v>12</v>
      </c>
      <c r="Q55" s="19">
        <v>4</v>
      </c>
      <c r="R55" s="19" t="s">
        <v>1941</v>
      </c>
      <c r="S55" s="26">
        <v>16705.57</v>
      </c>
      <c r="T55" s="28">
        <v>0</v>
      </c>
      <c r="U55" s="19" t="s">
        <v>426</v>
      </c>
      <c r="V55" s="19">
        <v>4360.5092000000004</v>
      </c>
      <c r="W55" s="26">
        <v>16705.57</v>
      </c>
      <c r="X55" t="b">
        <f>VLOOKUP(B55,'M10B Order'!B:F,5,FALSE)=W55</f>
        <v>1</v>
      </c>
    </row>
    <row r="56" spans="1:24" x14ac:dyDescent="0.2">
      <c r="A56" s="19">
        <v>569042286</v>
      </c>
      <c r="B56" s="19" t="s">
        <v>638</v>
      </c>
      <c r="C56" s="19" t="s">
        <v>639</v>
      </c>
      <c r="D56" s="19" t="s">
        <v>605</v>
      </c>
      <c r="E56" s="19" t="s">
        <v>1777</v>
      </c>
      <c r="F56" s="19">
        <v>508804198</v>
      </c>
      <c r="G56" s="19">
        <v>2</v>
      </c>
      <c r="H56" s="19">
        <v>2</v>
      </c>
      <c r="I56" s="19">
        <v>1596</v>
      </c>
      <c r="J56" s="25">
        <v>0.77005000000000001</v>
      </c>
      <c r="K56" s="26">
        <v>734.00040000000001</v>
      </c>
      <c r="L56" s="26">
        <v>0</v>
      </c>
      <c r="M56" s="26">
        <v>9</v>
      </c>
      <c r="N56" s="26">
        <v>8</v>
      </c>
      <c r="O56" s="27">
        <v>17</v>
      </c>
      <c r="P56" s="19">
        <v>12</v>
      </c>
      <c r="Q56" s="19">
        <v>4</v>
      </c>
      <c r="R56" s="19" t="s">
        <v>1941</v>
      </c>
      <c r="S56" s="26">
        <v>6830.73</v>
      </c>
      <c r="T56" s="28">
        <v>0</v>
      </c>
      <c r="U56" s="19" t="s">
        <v>424</v>
      </c>
      <c r="V56" s="19">
        <v>4447.3582079999996</v>
      </c>
      <c r="W56" s="26">
        <v>6830.73</v>
      </c>
      <c r="X56" t="b">
        <f>VLOOKUP(B56,'M10B Order'!B:F,5,FALSE)=W56</f>
        <v>1</v>
      </c>
    </row>
    <row r="57" spans="1:24" x14ac:dyDescent="0.2">
      <c r="A57" s="19">
        <v>580594310</v>
      </c>
      <c r="B57" s="19" t="s">
        <v>1680</v>
      </c>
      <c r="C57" s="19" t="s">
        <v>1681</v>
      </c>
      <c r="D57" s="19" t="s">
        <v>605</v>
      </c>
      <c r="E57" s="19" t="s">
        <v>1778</v>
      </c>
      <c r="F57" s="19">
        <v>508804191</v>
      </c>
      <c r="G57" s="19">
        <v>2</v>
      </c>
      <c r="H57" s="19">
        <v>2</v>
      </c>
      <c r="I57" s="19">
        <v>980</v>
      </c>
      <c r="J57" s="25">
        <v>0.83979599999999999</v>
      </c>
      <c r="K57" s="26">
        <v>313.99984000000001</v>
      </c>
      <c r="L57" s="26">
        <v>1268</v>
      </c>
      <c r="M57" s="26">
        <v>9</v>
      </c>
      <c r="N57" s="26">
        <v>6</v>
      </c>
      <c r="O57" s="27">
        <v>15</v>
      </c>
      <c r="P57" s="19">
        <v>12</v>
      </c>
      <c r="Q57" s="19">
        <v>1</v>
      </c>
      <c r="R57" s="19" t="s">
        <v>1939</v>
      </c>
      <c r="S57" s="26">
        <v>3178.39</v>
      </c>
      <c r="T57" s="28">
        <v>0</v>
      </c>
      <c r="U57" s="19">
        <v>0</v>
      </c>
      <c r="V57" s="19" t="s">
        <v>431</v>
      </c>
      <c r="W57" s="26">
        <v>3178.39</v>
      </c>
      <c r="X57" t="b">
        <f>VLOOKUP(B57,'M10B Order'!B:F,5,FALSE)=W57</f>
        <v>1</v>
      </c>
    </row>
    <row r="58" spans="1:24" x14ac:dyDescent="0.2">
      <c r="A58" s="19">
        <v>569042258</v>
      </c>
      <c r="B58" s="19" t="s">
        <v>640</v>
      </c>
      <c r="C58" s="19" t="s">
        <v>641</v>
      </c>
      <c r="D58" s="19" t="s">
        <v>605</v>
      </c>
      <c r="E58" s="19" t="s">
        <v>1778</v>
      </c>
      <c r="F58" s="19">
        <v>508804198</v>
      </c>
      <c r="G58" s="19">
        <v>2</v>
      </c>
      <c r="H58" s="19">
        <v>2</v>
      </c>
      <c r="I58" s="19">
        <v>1591</v>
      </c>
      <c r="J58" s="25">
        <v>0.95851699999999995</v>
      </c>
      <c r="K58" s="26">
        <v>131.99890600000015</v>
      </c>
      <c r="L58" s="26">
        <v>11776</v>
      </c>
      <c r="M58" s="26">
        <v>9</v>
      </c>
      <c r="N58" s="26">
        <v>8</v>
      </c>
      <c r="O58" s="27">
        <v>17</v>
      </c>
      <c r="P58" s="19">
        <v>12</v>
      </c>
      <c r="Q58" s="19">
        <v>1</v>
      </c>
      <c r="R58" s="19" t="s">
        <v>1941</v>
      </c>
      <c r="S58" s="26">
        <v>2846.15</v>
      </c>
      <c r="T58" s="28">
        <v>0</v>
      </c>
      <c r="U58" s="19">
        <v>0</v>
      </c>
      <c r="V58" s="19" t="s">
        <v>431</v>
      </c>
      <c r="W58" s="26">
        <v>2846.15</v>
      </c>
      <c r="X58" t="b">
        <f>VLOOKUP(B58,'M10B Order'!B:F,5,FALSE)=W58</f>
        <v>1</v>
      </c>
    </row>
    <row r="59" spans="1:24" x14ac:dyDescent="0.2">
      <c r="A59" s="19">
        <v>574155416</v>
      </c>
      <c r="B59" s="19" t="s">
        <v>1016</v>
      </c>
      <c r="C59" s="19" t="s">
        <v>1017</v>
      </c>
      <c r="D59" s="19" t="s">
        <v>605</v>
      </c>
      <c r="E59" s="19" t="s">
        <v>1778</v>
      </c>
      <c r="F59" s="19">
        <v>508804198</v>
      </c>
      <c r="G59" s="19">
        <v>2</v>
      </c>
      <c r="H59" s="19">
        <v>2</v>
      </c>
      <c r="I59" s="19">
        <v>979</v>
      </c>
      <c r="J59" s="25">
        <v>0.83758900000000003</v>
      </c>
      <c r="K59" s="26">
        <v>318.00073799999996</v>
      </c>
      <c r="L59" s="26">
        <v>518</v>
      </c>
      <c r="M59" s="26">
        <v>9</v>
      </c>
      <c r="N59" s="26">
        <v>8</v>
      </c>
      <c r="O59" s="27">
        <v>17</v>
      </c>
      <c r="P59" s="19">
        <v>12</v>
      </c>
      <c r="Q59" s="19">
        <v>1</v>
      </c>
      <c r="R59" s="19" t="s">
        <v>1941</v>
      </c>
      <c r="S59" s="26">
        <v>2805.0699999999997</v>
      </c>
      <c r="T59" s="28">
        <v>0</v>
      </c>
      <c r="U59" s="19">
        <v>0</v>
      </c>
      <c r="V59" s="19" t="s">
        <v>431</v>
      </c>
      <c r="W59" s="26">
        <v>2805.0699999999997</v>
      </c>
      <c r="X59" t="b">
        <f>VLOOKUP(B59,'M10B Order'!B:F,5,FALSE)=W59</f>
        <v>1</v>
      </c>
    </row>
    <row r="60" spans="1:24" x14ac:dyDescent="0.2">
      <c r="A60" s="19">
        <v>569042274</v>
      </c>
      <c r="B60" s="19" t="s">
        <v>622</v>
      </c>
      <c r="C60" s="19" t="s">
        <v>623</v>
      </c>
      <c r="D60" s="19" t="s">
        <v>617</v>
      </c>
      <c r="E60" s="19" t="s">
        <v>1777</v>
      </c>
      <c r="F60" s="19">
        <v>508804198</v>
      </c>
      <c r="G60" s="19">
        <v>4</v>
      </c>
      <c r="H60" s="19">
        <v>4</v>
      </c>
      <c r="I60" s="19">
        <v>2389</v>
      </c>
      <c r="J60" s="25">
        <v>0.979908</v>
      </c>
      <c r="K60" s="26">
        <v>191.99915199999998</v>
      </c>
      <c r="L60" s="26">
        <v>17396</v>
      </c>
      <c r="M60" s="26">
        <v>9</v>
      </c>
      <c r="N60" s="26">
        <v>8</v>
      </c>
      <c r="O60" s="27">
        <v>17</v>
      </c>
      <c r="P60" s="19">
        <v>22</v>
      </c>
      <c r="Q60" s="19">
        <v>4</v>
      </c>
      <c r="R60" s="19" t="s">
        <v>1941</v>
      </c>
      <c r="S60" s="26">
        <v>11008.780000000008</v>
      </c>
      <c r="T60" s="28">
        <v>18</v>
      </c>
      <c r="U60" s="19" t="s">
        <v>5</v>
      </c>
      <c r="V60" s="19">
        <v>17798.050063999995</v>
      </c>
      <c r="W60" s="19"/>
      <c r="X60" t="b">
        <f>VLOOKUP(B60,'M10B Order'!B:F,5,FALSE)=W60</f>
        <v>1</v>
      </c>
    </row>
    <row r="61" spans="1:24" x14ac:dyDescent="0.2">
      <c r="A61" s="19">
        <v>569042285</v>
      </c>
      <c r="B61" s="19" t="s">
        <v>624</v>
      </c>
      <c r="C61" s="19" t="s">
        <v>625</v>
      </c>
      <c r="D61" s="19" t="s">
        <v>617</v>
      </c>
      <c r="E61" s="19" t="s">
        <v>1777</v>
      </c>
      <c r="F61" s="19">
        <v>508804198</v>
      </c>
      <c r="G61" s="19">
        <v>4</v>
      </c>
      <c r="H61" s="19">
        <v>4</v>
      </c>
      <c r="I61" s="19">
        <v>1897</v>
      </c>
      <c r="J61" s="25">
        <v>0.96257199999999998</v>
      </c>
      <c r="K61" s="26">
        <v>284.00366400000013</v>
      </c>
      <c r="L61" s="26">
        <v>10572</v>
      </c>
      <c r="M61" s="26">
        <v>9</v>
      </c>
      <c r="N61" s="26">
        <v>8</v>
      </c>
      <c r="O61" s="27">
        <v>17</v>
      </c>
      <c r="P61" s="19">
        <v>22</v>
      </c>
      <c r="Q61" s="19">
        <v>4</v>
      </c>
      <c r="R61" s="19" t="s">
        <v>1941</v>
      </c>
      <c r="S61" s="26">
        <v>3742.7936640000016</v>
      </c>
      <c r="T61" s="28">
        <v>21</v>
      </c>
      <c r="U61" s="19" t="s">
        <v>89</v>
      </c>
      <c r="V61" s="19">
        <v>0</v>
      </c>
      <c r="W61" s="19"/>
      <c r="X61" t="b">
        <f>VLOOKUP(B61,'M10B Order'!B:F,5,FALSE)=W61</f>
        <v>1</v>
      </c>
    </row>
    <row r="62" spans="1:24" x14ac:dyDescent="0.2">
      <c r="A62" s="19">
        <v>573626521</v>
      </c>
      <c r="B62" s="19" t="s">
        <v>963</v>
      </c>
      <c r="C62" s="19" t="s">
        <v>964</v>
      </c>
      <c r="D62" s="19" t="s">
        <v>617</v>
      </c>
      <c r="E62" s="19" t="s">
        <v>1777</v>
      </c>
      <c r="F62" s="19">
        <v>508804198</v>
      </c>
      <c r="G62" s="19">
        <v>4</v>
      </c>
      <c r="H62" s="19">
        <v>4</v>
      </c>
      <c r="I62" s="19">
        <v>800</v>
      </c>
      <c r="J62" s="25">
        <v>0.98750000000000004</v>
      </c>
      <c r="K62" s="26">
        <v>39.999999999999858</v>
      </c>
      <c r="L62" s="26">
        <v>1912</v>
      </c>
      <c r="M62" s="26">
        <v>9</v>
      </c>
      <c r="N62" s="26">
        <v>8</v>
      </c>
      <c r="O62" s="27">
        <v>17</v>
      </c>
      <c r="P62" s="19">
        <v>22</v>
      </c>
      <c r="Q62" s="19">
        <v>4</v>
      </c>
      <c r="R62" s="19" t="s">
        <v>1941</v>
      </c>
      <c r="S62" s="26">
        <v>2014.8</v>
      </c>
      <c r="T62" s="28">
        <v>16</v>
      </c>
      <c r="U62" s="19" t="s">
        <v>121</v>
      </c>
      <c r="V62" s="19">
        <v>3520.6858879999982</v>
      </c>
      <c r="W62" s="19"/>
      <c r="X62" t="b">
        <f>VLOOKUP(B62,'M10B Order'!B:F,5,FALSE)=W62</f>
        <v>1</v>
      </c>
    </row>
    <row r="63" spans="1:24" x14ac:dyDescent="0.2">
      <c r="A63" s="19">
        <v>573626486</v>
      </c>
      <c r="B63" s="19" t="s">
        <v>965</v>
      </c>
      <c r="C63" s="19" t="s">
        <v>966</v>
      </c>
      <c r="D63" s="19" t="s">
        <v>617</v>
      </c>
      <c r="E63" s="19" t="s">
        <v>1777</v>
      </c>
      <c r="F63" s="19">
        <v>508804198</v>
      </c>
      <c r="G63" s="19">
        <v>4</v>
      </c>
      <c r="H63" s="19">
        <v>4</v>
      </c>
      <c r="I63" s="19">
        <v>800</v>
      </c>
      <c r="J63" s="25">
        <v>0.96875</v>
      </c>
      <c r="K63" s="26">
        <v>100</v>
      </c>
      <c r="L63" s="26">
        <v>6128</v>
      </c>
      <c r="M63" s="26">
        <v>9</v>
      </c>
      <c r="N63" s="26">
        <v>8</v>
      </c>
      <c r="O63" s="27">
        <v>17</v>
      </c>
      <c r="P63" s="19">
        <v>22</v>
      </c>
      <c r="Q63" s="19">
        <v>4</v>
      </c>
      <c r="R63" s="19" t="s">
        <v>1941</v>
      </c>
      <c r="S63" s="26">
        <v>885.29000000000235</v>
      </c>
      <c r="T63" s="28">
        <v>19</v>
      </c>
      <c r="U63" s="19" t="s">
        <v>13</v>
      </c>
      <c r="V63" s="19">
        <v>0</v>
      </c>
      <c r="W63" s="19"/>
      <c r="X63" t="b">
        <f>VLOOKUP(B63,'M10B Order'!B:F,5,FALSE)=W63</f>
        <v>1</v>
      </c>
    </row>
    <row r="64" spans="1:24" x14ac:dyDescent="0.2">
      <c r="A64" s="19">
        <v>569042265</v>
      </c>
      <c r="B64" s="19" t="s">
        <v>630</v>
      </c>
      <c r="C64" s="19" t="s">
        <v>631</v>
      </c>
      <c r="D64" s="19" t="s">
        <v>617</v>
      </c>
      <c r="E64" s="19" t="s">
        <v>1777</v>
      </c>
      <c r="F64" s="19">
        <v>508804198</v>
      </c>
      <c r="G64" s="19">
        <v>4</v>
      </c>
      <c r="H64" s="19">
        <v>4</v>
      </c>
      <c r="I64" s="19">
        <v>1897</v>
      </c>
      <c r="J64" s="25">
        <v>0.97680500000000003</v>
      </c>
      <c r="K64" s="26">
        <v>176.00365999999974</v>
      </c>
      <c r="L64" s="26">
        <v>8708</v>
      </c>
      <c r="M64" s="26">
        <v>9</v>
      </c>
      <c r="N64" s="26">
        <v>8</v>
      </c>
      <c r="O64" s="27">
        <v>17</v>
      </c>
      <c r="P64" s="19">
        <v>22</v>
      </c>
      <c r="Q64" s="19">
        <v>4</v>
      </c>
      <c r="R64" s="19" t="s">
        <v>1941</v>
      </c>
      <c r="S64" s="26">
        <v>662.35366000000079</v>
      </c>
      <c r="T64" s="28">
        <v>25</v>
      </c>
      <c r="U64" s="19" t="s">
        <v>129</v>
      </c>
      <c r="V64" s="19">
        <v>0</v>
      </c>
      <c r="W64" s="19"/>
      <c r="X64" t="b">
        <f>VLOOKUP(B64,'M10B Order'!B:F,5,FALSE)=W64</f>
        <v>1</v>
      </c>
    </row>
    <row r="65" spans="1:24" x14ac:dyDescent="0.2">
      <c r="A65" s="19">
        <v>573626485</v>
      </c>
      <c r="B65" s="19" t="s">
        <v>967</v>
      </c>
      <c r="C65" s="19" t="s">
        <v>968</v>
      </c>
      <c r="D65" s="19" t="s">
        <v>617</v>
      </c>
      <c r="E65" s="19" t="s">
        <v>1777</v>
      </c>
      <c r="F65" s="19">
        <v>508804198</v>
      </c>
      <c r="G65" s="19">
        <v>4</v>
      </c>
      <c r="H65" s="19">
        <v>4</v>
      </c>
      <c r="I65" s="19">
        <v>829</v>
      </c>
      <c r="J65" s="25">
        <v>0.97949299999999995</v>
      </c>
      <c r="K65" s="26">
        <v>68.00121200000018</v>
      </c>
      <c r="L65" s="26">
        <v>6292</v>
      </c>
      <c r="M65" s="26">
        <v>9</v>
      </c>
      <c r="N65" s="26">
        <v>8</v>
      </c>
      <c r="O65" s="27">
        <v>17</v>
      </c>
      <c r="P65" s="19">
        <v>22</v>
      </c>
      <c r="Q65" s="19">
        <v>4</v>
      </c>
      <c r="R65" s="19" t="s">
        <v>1941</v>
      </c>
      <c r="S65" s="26">
        <v>579.4412119999995</v>
      </c>
      <c r="T65" s="28">
        <v>23</v>
      </c>
      <c r="U65" s="19" t="s">
        <v>95</v>
      </c>
      <c r="V65" s="19">
        <v>0</v>
      </c>
      <c r="X65" t="b">
        <f>VLOOKUP(B65,'M10B Order'!B:F,5,FALSE)=W65</f>
        <v>1</v>
      </c>
    </row>
    <row r="66" spans="1:24" x14ac:dyDescent="0.2">
      <c r="A66" s="19">
        <v>569033500</v>
      </c>
      <c r="B66" s="19" t="s">
        <v>626</v>
      </c>
      <c r="C66" s="19" t="s">
        <v>627</v>
      </c>
      <c r="D66" s="19" t="s">
        <v>617</v>
      </c>
      <c r="E66" s="19" t="s">
        <v>1777</v>
      </c>
      <c r="F66" s="19">
        <v>508804198</v>
      </c>
      <c r="G66" s="19">
        <v>4</v>
      </c>
      <c r="H66" s="19">
        <v>4</v>
      </c>
      <c r="I66" s="19">
        <v>1897</v>
      </c>
      <c r="J66" s="25">
        <v>0.95888200000000001</v>
      </c>
      <c r="K66" s="26">
        <v>312.00338399999993</v>
      </c>
      <c r="L66" s="26">
        <v>6060</v>
      </c>
      <c r="M66" s="26">
        <v>9</v>
      </c>
      <c r="N66" s="26">
        <v>8</v>
      </c>
      <c r="O66" s="27">
        <v>17</v>
      </c>
      <c r="P66" s="19">
        <v>22</v>
      </c>
      <c r="Q66" s="19">
        <v>4</v>
      </c>
      <c r="R66" s="19" t="s">
        <v>1941</v>
      </c>
      <c r="S66" s="26">
        <v>421.76338400000168</v>
      </c>
      <c r="T66" s="28">
        <v>26</v>
      </c>
      <c r="U66" s="19" t="s">
        <v>229</v>
      </c>
      <c r="V66" s="19">
        <v>3486.2613440000055</v>
      </c>
      <c r="X66" t="b">
        <f>VLOOKUP(B66,'M10B Order'!B:F,5,FALSE)=W66</f>
        <v>1</v>
      </c>
    </row>
    <row r="67" spans="1:24" x14ac:dyDescent="0.2">
      <c r="A67" s="19">
        <v>569033211</v>
      </c>
      <c r="B67" s="19" t="s">
        <v>618</v>
      </c>
      <c r="C67" s="19" t="s">
        <v>619</v>
      </c>
      <c r="D67" s="19" t="s">
        <v>617</v>
      </c>
      <c r="E67" s="19" t="s">
        <v>1777</v>
      </c>
      <c r="F67" s="19">
        <v>508804198</v>
      </c>
      <c r="G67" s="19">
        <v>4</v>
      </c>
      <c r="H67" s="19">
        <v>4</v>
      </c>
      <c r="I67" s="19">
        <v>1897</v>
      </c>
      <c r="J67" s="25">
        <v>0.97153400000000001</v>
      </c>
      <c r="K67" s="26">
        <v>216.00000799999992</v>
      </c>
      <c r="L67" s="26">
        <v>5756</v>
      </c>
      <c r="M67" s="26">
        <v>9</v>
      </c>
      <c r="N67" s="26">
        <v>8</v>
      </c>
      <c r="O67" s="27">
        <v>17</v>
      </c>
      <c r="P67" s="19">
        <v>22</v>
      </c>
      <c r="Q67" s="19">
        <v>4</v>
      </c>
      <c r="R67" s="19" t="s">
        <v>1941</v>
      </c>
      <c r="S67" s="26">
        <v>405.75000800000294</v>
      </c>
      <c r="T67" s="28">
        <v>26</v>
      </c>
      <c r="U67" s="19" t="s">
        <v>350</v>
      </c>
      <c r="V67" s="19">
        <v>0</v>
      </c>
      <c r="X67" t="b">
        <f>VLOOKUP(B67,'M10B Order'!B:F,5,FALSE)=W67</f>
        <v>1</v>
      </c>
    </row>
    <row r="68" spans="1:24" x14ac:dyDescent="0.2">
      <c r="A68" s="19">
        <v>569042290</v>
      </c>
      <c r="B68" s="19" t="s">
        <v>628</v>
      </c>
      <c r="C68" s="19" t="s">
        <v>629</v>
      </c>
      <c r="D68" s="19" t="s">
        <v>617</v>
      </c>
      <c r="E68" s="19" t="s">
        <v>1777</v>
      </c>
      <c r="F68" s="19">
        <v>508804198</v>
      </c>
      <c r="G68" s="19">
        <v>4</v>
      </c>
      <c r="H68" s="19">
        <v>4</v>
      </c>
      <c r="I68" s="19">
        <v>829</v>
      </c>
      <c r="J68" s="25">
        <v>0.98552499999999998</v>
      </c>
      <c r="K68" s="26">
        <v>47.999100000000055</v>
      </c>
      <c r="L68" s="26">
        <v>1608</v>
      </c>
      <c r="M68" s="26">
        <v>9</v>
      </c>
      <c r="N68" s="26">
        <v>8</v>
      </c>
      <c r="O68" s="27">
        <v>17</v>
      </c>
      <c r="P68" s="19">
        <v>22</v>
      </c>
      <c r="Q68" s="19">
        <v>4</v>
      </c>
      <c r="R68" s="19" t="s">
        <v>1941</v>
      </c>
      <c r="S68" s="26">
        <v>228.46910000000014</v>
      </c>
      <c r="T68" s="28">
        <v>25</v>
      </c>
      <c r="U68" s="19" t="s">
        <v>227</v>
      </c>
      <c r="V68" s="19">
        <v>0</v>
      </c>
      <c r="X68" t="b">
        <f>VLOOKUP(B68,'M10B Order'!B:F,5,FALSE)=W68</f>
        <v>1</v>
      </c>
    </row>
    <row r="69" spans="1:24" x14ac:dyDescent="0.2">
      <c r="A69" s="19">
        <v>554726540</v>
      </c>
      <c r="B69" s="19" t="s">
        <v>222</v>
      </c>
      <c r="C69" s="19" t="s">
        <v>221</v>
      </c>
      <c r="D69" s="19" t="s">
        <v>371</v>
      </c>
      <c r="E69" s="19" t="s">
        <v>1777</v>
      </c>
      <c r="F69" s="19">
        <v>508804192</v>
      </c>
      <c r="G69" s="19">
        <v>3</v>
      </c>
      <c r="H69" s="19">
        <v>18</v>
      </c>
      <c r="I69" s="19">
        <v>3485</v>
      </c>
      <c r="J69" s="25">
        <v>0.94978499999999999</v>
      </c>
      <c r="K69" s="26">
        <v>524.99782500000015</v>
      </c>
      <c r="L69" s="26">
        <v>15714</v>
      </c>
      <c r="M69" s="26">
        <v>11</v>
      </c>
      <c r="N69" s="26">
        <v>8</v>
      </c>
      <c r="O69" s="27">
        <v>19</v>
      </c>
      <c r="P69" s="19">
        <v>22</v>
      </c>
      <c r="Q69" s="19">
        <v>4</v>
      </c>
      <c r="R69" s="19" t="s">
        <v>1945</v>
      </c>
      <c r="S69" s="26">
        <v>856.14782499999274</v>
      </c>
      <c r="T69" s="28">
        <v>26</v>
      </c>
      <c r="U69" s="19" t="s">
        <v>1039</v>
      </c>
      <c r="V69" s="19" t="s">
        <v>431</v>
      </c>
      <c r="X69" t="b">
        <f>VLOOKUP(B69,'M10B Order'!B:F,5,FALSE)=W69</f>
        <v>1</v>
      </c>
    </row>
    <row r="70" spans="1:24" x14ac:dyDescent="0.2">
      <c r="A70" s="19">
        <v>569042312</v>
      </c>
      <c r="B70" s="19" t="s">
        <v>611</v>
      </c>
      <c r="C70" s="19" t="s">
        <v>612</v>
      </c>
      <c r="D70" s="19" t="s">
        <v>606</v>
      </c>
      <c r="E70" s="19" t="s">
        <v>1777</v>
      </c>
      <c r="F70" s="19">
        <v>508804198</v>
      </c>
      <c r="G70" s="19">
        <v>4</v>
      </c>
      <c r="H70" s="19">
        <v>4</v>
      </c>
      <c r="I70" s="19">
        <v>2389</v>
      </c>
      <c r="J70" s="25">
        <v>0.90498100000000004</v>
      </c>
      <c r="K70" s="26">
        <v>908.00156399999969</v>
      </c>
      <c r="L70" s="26">
        <v>6356</v>
      </c>
      <c r="M70" s="26">
        <v>9</v>
      </c>
      <c r="N70" s="26">
        <v>8</v>
      </c>
      <c r="O70" s="27">
        <v>17</v>
      </c>
      <c r="P70" s="19">
        <v>22</v>
      </c>
      <c r="Q70" s="19">
        <v>4</v>
      </c>
      <c r="R70" s="19" t="s">
        <v>1941</v>
      </c>
      <c r="S70" s="26">
        <v>5392.5115639999949</v>
      </c>
      <c r="T70" s="28">
        <v>24</v>
      </c>
      <c r="U70" s="19" t="s">
        <v>5</v>
      </c>
      <c r="V70" s="19">
        <v>17798.050063999995</v>
      </c>
      <c r="X70" t="b">
        <f>VLOOKUP(B70,'M10B Order'!B:F,5,FALSE)=W70</f>
        <v>1</v>
      </c>
    </row>
    <row r="71" spans="1:24" x14ac:dyDescent="0.2">
      <c r="A71" s="19">
        <v>569042280</v>
      </c>
      <c r="B71" s="19" t="s">
        <v>609</v>
      </c>
      <c r="C71" s="19" t="s">
        <v>610</v>
      </c>
      <c r="D71" s="19" t="s">
        <v>606</v>
      </c>
      <c r="E71" s="19" t="s">
        <v>1777</v>
      </c>
      <c r="F71" s="19">
        <v>508804198</v>
      </c>
      <c r="G71" s="19">
        <v>4</v>
      </c>
      <c r="H71" s="19">
        <v>4</v>
      </c>
      <c r="I71" s="19">
        <v>393</v>
      </c>
      <c r="J71" s="25">
        <v>0.97964399999999996</v>
      </c>
      <c r="K71" s="26">
        <v>31.999632000000062</v>
      </c>
      <c r="L71" s="26">
        <v>2916</v>
      </c>
      <c r="M71" s="26">
        <v>9</v>
      </c>
      <c r="N71" s="26">
        <v>8</v>
      </c>
      <c r="O71" s="27">
        <v>17</v>
      </c>
      <c r="P71" s="19">
        <v>22</v>
      </c>
      <c r="Q71" s="19">
        <v>4</v>
      </c>
      <c r="R71" s="19" t="s">
        <v>1941</v>
      </c>
      <c r="S71" s="26">
        <v>738.4796319999997</v>
      </c>
      <c r="T71" s="28">
        <v>16</v>
      </c>
      <c r="U71" s="19" t="s">
        <v>350</v>
      </c>
      <c r="V71" s="19">
        <v>0</v>
      </c>
      <c r="X71" t="b">
        <f>VLOOKUP(B71,'M10B Order'!B:F,5,FALSE)=W71</f>
        <v>1</v>
      </c>
    </row>
    <row r="72" spans="1:24" x14ac:dyDescent="0.2">
      <c r="A72" s="19">
        <v>569042291</v>
      </c>
      <c r="B72" s="19" t="s">
        <v>607</v>
      </c>
      <c r="C72" s="19" t="s">
        <v>608</v>
      </c>
      <c r="D72" s="19" t="s">
        <v>606</v>
      </c>
      <c r="E72" s="19" t="s">
        <v>1777</v>
      </c>
      <c r="F72" s="19">
        <v>508804198</v>
      </c>
      <c r="G72" s="19">
        <v>4</v>
      </c>
      <c r="H72" s="19">
        <v>4</v>
      </c>
      <c r="I72" s="19">
        <v>829</v>
      </c>
      <c r="J72" s="25">
        <v>0.95898700000000003</v>
      </c>
      <c r="K72" s="26">
        <v>135.99910799999989</v>
      </c>
      <c r="L72" s="26">
        <v>1868</v>
      </c>
      <c r="M72" s="26">
        <v>9</v>
      </c>
      <c r="N72" s="26">
        <v>8</v>
      </c>
      <c r="O72" s="27">
        <v>17</v>
      </c>
      <c r="P72" s="19">
        <v>22</v>
      </c>
      <c r="Q72" s="19">
        <v>4</v>
      </c>
      <c r="R72" s="19" t="s">
        <v>1941</v>
      </c>
      <c r="S72" s="26">
        <v>600.57910800000127</v>
      </c>
      <c r="T72" s="28">
        <v>24</v>
      </c>
      <c r="U72" s="19" t="s">
        <v>229</v>
      </c>
      <c r="V72" s="19">
        <v>3486.2613440000055</v>
      </c>
      <c r="X72" t="b">
        <f>VLOOKUP(B72,'M10B Order'!B:F,5,FALSE)=W72</f>
        <v>1</v>
      </c>
    </row>
    <row r="73" spans="1:24" x14ac:dyDescent="0.2">
      <c r="A73" s="19">
        <v>569033356</v>
      </c>
      <c r="B73" s="19" t="s">
        <v>615</v>
      </c>
      <c r="C73" s="19" t="s">
        <v>616</v>
      </c>
      <c r="D73" s="19" t="s">
        <v>606</v>
      </c>
      <c r="E73" s="19" t="s">
        <v>1777</v>
      </c>
      <c r="F73" s="19">
        <v>508804198</v>
      </c>
      <c r="G73" s="19">
        <v>4</v>
      </c>
      <c r="H73" s="19">
        <v>4</v>
      </c>
      <c r="I73" s="19">
        <v>829</v>
      </c>
      <c r="J73" s="25">
        <v>0.95777999999999996</v>
      </c>
      <c r="K73" s="26">
        <v>140.00152000000011</v>
      </c>
      <c r="L73" s="26">
        <v>4844</v>
      </c>
      <c r="M73" s="26">
        <v>9</v>
      </c>
      <c r="N73" s="26">
        <v>8</v>
      </c>
      <c r="O73" s="27">
        <v>17</v>
      </c>
      <c r="P73" s="19">
        <v>22</v>
      </c>
      <c r="Q73" s="19">
        <v>4</v>
      </c>
      <c r="R73" s="19" t="s">
        <v>1941</v>
      </c>
      <c r="S73" s="26">
        <v>254.89152000000092</v>
      </c>
      <c r="T73" s="28">
        <v>25</v>
      </c>
      <c r="U73" s="19" t="s">
        <v>129</v>
      </c>
      <c r="V73" s="19">
        <v>0</v>
      </c>
      <c r="X73" t="b">
        <f>VLOOKUP(B73,'M10B Order'!B:F,5,FALSE)=W73</f>
        <v>1</v>
      </c>
    </row>
    <row r="74" spans="1:24" x14ac:dyDescent="0.2">
      <c r="A74" s="19">
        <v>584323902</v>
      </c>
      <c r="B74" s="19" t="s">
        <v>1692</v>
      </c>
      <c r="C74" s="19" t="s">
        <v>1693</v>
      </c>
      <c r="D74" s="19" t="s">
        <v>1687</v>
      </c>
      <c r="E74" s="19" t="s">
        <v>1777</v>
      </c>
      <c r="F74" s="19">
        <v>508804198</v>
      </c>
      <c r="G74" s="19">
        <v>15</v>
      </c>
      <c r="H74" s="19">
        <v>15</v>
      </c>
      <c r="I74" s="19">
        <v>3404</v>
      </c>
      <c r="J74" s="25">
        <v>0.92538200000000004</v>
      </c>
      <c r="K74" s="26">
        <v>3809.9950799999979</v>
      </c>
      <c r="L74" s="26">
        <v>3883</v>
      </c>
      <c r="M74" s="26">
        <v>9</v>
      </c>
      <c r="N74" s="26">
        <v>8</v>
      </c>
      <c r="O74" s="27">
        <v>17</v>
      </c>
      <c r="P74" s="19">
        <v>22</v>
      </c>
      <c r="Q74" s="19">
        <v>4</v>
      </c>
      <c r="R74" s="19" t="s">
        <v>1941</v>
      </c>
      <c r="S74" s="26">
        <v>55380.715079999994</v>
      </c>
      <c r="T74" s="28">
        <v>0</v>
      </c>
      <c r="U74" s="19">
        <v>0</v>
      </c>
      <c r="V74" s="19" t="s">
        <v>431</v>
      </c>
      <c r="X74" t="b">
        <f>VLOOKUP(B74,'M10B Order'!B:F,5,FALSE)=W74</f>
        <v>1</v>
      </c>
    </row>
    <row r="75" spans="1:24" x14ac:dyDescent="0.2">
      <c r="A75" s="19">
        <v>584323910</v>
      </c>
      <c r="B75" s="19" t="s">
        <v>1702</v>
      </c>
      <c r="C75" s="19" t="s">
        <v>1703</v>
      </c>
      <c r="D75" s="19" t="s">
        <v>1687</v>
      </c>
      <c r="E75" s="19" t="s">
        <v>1777</v>
      </c>
      <c r="F75" s="19">
        <v>508804198</v>
      </c>
      <c r="G75" s="19">
        <v>15</v>
      </c>
      <c r="H75" s="19">
        <v>15</v>
      </c>
      <c r="I75" s="19">
        <v>3404</v>
      </c>
      <c r="J75" s="25">
        <v>0.960928</v>
      </c>
      <c r="K75" s="26">
        <v>1995.0163199999997</v>
      </c>
      <c r="L75" s="26">
        <v>405</v>
      </c>
      <c r="M75" s="26">
        <v>9</v>
      </c>
      <c r="N75" s="26">
        <v>8</v>
      </c>
      <c r="O75" s="27">
        <v>17</v>
      </c>
      <c r="P75" s="19">
        <v>22</v>
      </c>
      <c r="Q75" s="19">
        <v>4</v>
      </c>
      <c r="R75" s="19" t="s">
        <v>1941</v>
      </c>
      <c r="S75" s="26">
        <v>46296.556320000003</v>
      </c>
      <c r="T75" s="28">
        <v>0</v>
      </c>
      <c r="U75" s="19">
        <v>0</v>
      </c>
      <c r="V75" s="19" t="s">
        <v>431</v>
      </c>
      <c r="X75" t="b">
        <f>VLOOKUP(B75,'M10B Order'!B:F,5,FALSE)=W75</f>
        <v>1</v>
      </c>
    </row>
    <row r="76" spans="1:24" x14ac:dyDescent="0.2">
      <c r="A76" s="19">
        <v>584323914</v>
      </c>
      <c r="B76" s="19" t="s">
        <v>1694</v>
      </c>
      <c r="C76" s="19" t="s">
        <v>1695</v>
      </c>
      <c r="D76" s="19" t="s">
        <v>1687</v>
      </c>
      <c r="E76" s="19" t="s">
        <v>1777</v>
      </c>
      <c r="F76" s="19">
        <v>508804198</v>
      </c>
      <c r="G76" s="19">
        <v>15</v>
      </c>
      <c r="H76" s="19">
        <v>15</v>
      </c>
      <c r="I76" s="19">
        <v>3405</v>
      </c>
      <c r="J76" s="25">
        <v>0.88605</v>
      </c>
      <c r="K76" s="26">
        <v>5819.9962500000001</v>
      </c>
      <c r="L76" s="26">
        <v>0</v>
      </c>
      <c r="M76" s="26">
        <v>9</v>
      </c>
      <c r="N76" s="26">
        <v>8</v>
      </c>
      <c r="O76" s="27">
        <v>17</v>
      </c>
      <c r="P76" s="19">
        <v>22</v>
      </c>
      <c r="Q76" s="19">
        <v>4</v>
      </c>
      <c r="R76" s="19" t="s">
        <v>1941</v>
      </c>
      <c r="S76" s="26">
        <v>43510.576249999998</v>
      </c>
      <c r="T76" s="28">
        <v>0</v>
      </c>
      <c r="U76" s="19">
        <v>0</v>
      </c>
      <c r="V76" s="19" t="s">
        <v>431</v>
      </c>
      <c r="X76" t="b">
        <f>VLOOKUP(B76,'M10B Order'!B:F,5,FALSE)=W76</f>
        <v>1</v>
      </c>
    </row>
    <row r="77" spans="1:24" x14ac:dyDescent="0.2">
      <c r="A77" s="19">
        <v>584323901</v>
      </c>
      <c r="B77" s="19" t="s">
        <v>1688</v>
      </c>
      <c r="C77" s="19" t="s">
        <v>1689</v>
      </c>
      <c r="D77" s="19" t="s">
        <v>1687</v>
      </c>
      <c r="E77" s="19" t="s">
        <v>1777</v>
      </c>
      <c r="F77" s="19">
        <v>508804198</v>
      </c>
      <c r="G77" s="19">
        <v>12</v>
      </c>
      <c r="H77" s="19">
        <v>12</v>
      </c>
      <c r="I77" s="19">
        <v>3403</v>
      </c>
      <c r="J77" s="25">
        <v>0.95533400000000002</v>
      </c>
      <c r="K77" s="26">
        <v>1823.9807759999994</v>
      </c>
      <c r="L77" s="26">
        <v>2752</v>
      </c>
      <c r="M77" s="26">
        <v>9</v>
      </c>
      <c r="N77" s="26">
        <v>8</v>
      </c>
      <c r="O77" s="27">
        <v>17</v>
      </c>
      <c r="P77" s="19">
        <v>22</v>
      </c>
      <c r="Q77" s="19">
        <v>4</v>
      </c>
      <c r="R77" s="19" t="s">
        <v>1941</v>
      </c>
      <c r="S77" s="26">
        <v>37027.640776</v>
      </c>
      <c r="T77" s="28">
        <v>0</v>
      </c>
      <c r="U77" s="19">
        <v>0</v>
      </c>
      <c r="V77" s="19" t="s">
        <v>431</v>
      </c>
      <c r="X77" t="b">
        <f>VLOOKUP(B77,'M10B Order'!B:F,5,FALSE)=W77</f>
        <v>1</v>
      </c>
    </row>
    <row r="78" spans="1:24" x14ac:dyDescent="0.2">
      <c r="A78" s="19">
        <v>584323909</v>
      </c>
      <c r="B78" s="19" t="s">
        <v>1716</v>
      </c>
      <c r="C78" s="19" t="s">
        <v>1717</v>
      </c>
      <c r="D78" s="19" t="s">
        <v>1687</v>
      </c>
      <c r="E78" s="19" t="s">
        <v>1777</v>
      </c>
      <c r="F78" s="19">
        <v>508804198</v>
      </c>
      <c r="G78" s="19">
        <v>15</v>
      </c>
      <c r="H78" s="19">
        <v>15</v>
      </c>
      <c r="I78" s="19">
        <v>3405</v>
      </c>
      <c r="J78" s="25">
        <v>0.96857599999999999</v>
      </c>
      <c r="K78" s="26">
        <v>1604.9808000000003</v>
      </c>
      <c r="L78" s="26">
        <v>165</v>
      </c>
      <c r="M78" s="26">
        <v>9</v>
      </c>
      <c r="N78" s="26">
        <v>8</v>
      </c>
      <c r="O78" s="27">
        <v>17</v>
      </c>
      <c r="P78" s="19">
        <v>22</v>
      </c>
      <c r="Q78" s="19">
        <v>4</v>
      </c>
      <c r="R78" s="19" t="s">
        <v>1941</v>
      </c>
      <c r="S78" s="26">
        <v>33998.000800000002</v>
      </c>
      <c r="T78" s="28">
        <v>0</v>
      </c>
      <c r="U78" s="19">
        <v>0</v>
      </c>
      <c r="V78" s="19" t="s">
        <v>431</v>
      </c>
      <c r="X78" t="b">
        <f>VLOOKUP(B78,'M10B Order'!B:F,5,FALSE)=W78</f>
        <v>1</v>
      </c>
    </row>
    <row r="79" spans="1:24" x14ac:dyDescent="0.2">
      <c r="A79" s="19">
        <v>584323906</v>
      </c>
      <c r="B79" s="19" t="s">
        <v>1696</v>
      </c>
      <c r="C79" s="19" t="s">
        <v>1697</v>
      </c>
      <c r="D79" s="19" t="s">
        <v>1687</v>
      </c>
      <c r="E79" s="19" t="s">
        <v>1777</v>
      </c>
      <c r="F79" s="19">
        <v>508804198</v>
      </c>
      <c r="G79" s="19">
        <v>12</v>
      </c>
      <c r="H79" s="19">
        <v>12</v>
      </c>
      <c r="I79" s="19">
        <v>3404</v>
      </c>
      <c r="J79" s="25">
        <v>0.84958900000000004</v>
      </c>
      <c r="K79" s="26">
        <v>6143.988527999998</v>
      </c>
      <c r="L79" s="26">
        <v>0</v>
      </c>
      <c r="M79" s="26">
        <v>9</v>
      </c>
      <c r="N79" s="26">
        <v>8</v>
      </c>
      <c r="O79" s="27">
        <v>17</v>
      </c>
      <c r="P79" s="19">
        <v>22</v>
      </c>
      <c r="Q79" s="19">
        <v>4</v>
      </c>
      <c r="R79" s="19" t="s">
        <v>1941</v>
      </c>
      <c r="S79" s="26">
        <v>23395.499999999996</v>
      </c>
      <c r="T79" s="28">
        <v>0</v>
      </c>
      <c r="U79" s="19">
        <v>0</v>
      </c>
      <c r="V79" s="19" t="s">
        <v>431</v>
      </c>
      <c r="X79" t="b">
        <f>VLOOKUP(B79,'M10B Order'!B:F,5,FALSE)=W79</f>
        <v>1</v>
      </c>
    </row>
    <row r="80" spans="1:24" x14ac:dyDescent="0.2">
      <c r="A80" s="19">
        <v>584323915</v>
      </c>
      <c r="B80" s="19" t="s">
        <v>1706</v>
      </c>
      <c r="C80" s="19" t="s">
        <v>1707</v>
      </c>
      <c r="D80" s="19" t="s">
        <v>1687</v>
      </c>
      <c r="E80" s="19" t="s">
        <v>1777</v>
      </c>
      <c r="F80" s="19">
        <v>508804198</v>
      </c>
      <c r="G80" s="19">
        <v>12</v>
      </c>
      <c r="H80" s="19">
        <v>12</v>
      </c>
      <c r="I80" s="19">
        <v>3403</v>
      </c>
      <c r="J80" s="25">
        <v>0.94122799999999995</v>
      </c>
      <c r="K80" s="26">
        <v>2400.0133920000021</v>
      </c>
      <c r="L80" s="26">
        <v>3168</v>
      </c>
      <c r="M80" s="26">
        <v>9</v>
      </c>
      <c r="N80" s="26">
        <v>8</v>
      </c>
      <c r="O80" s="27">
        <v>17</v>
      </c>
      <c r="P80" s="19">
        <v>22</v>
      </c>
      <c r="Q80" s="19">
        <v>4</v>
      </c>
      <c r="R80" s="19" t="s">
        <v>1941</v>
      </c>
      <c r="S80" s="26">
        <v>21510.71</v>
      </c>
      <c r="T80" s="28">
        <v>0</v>
      </c>
      <c r="U80" s="19">
        <v>0</v>
      </c>
      <c r="V80" s="19" t="s">
        <v>431</v>
      </c>
      <c r="X80" t="b">
        <f>VLOOKUP(B80,'M10B Order'!B:F,5,FALSE)=W80</f>
        <v>1</v>
      </c>
    </row>
    <row r="81" spans="1:24" x14ac:dyDescent="0.2">
      <c r="A81" s="19">
        <v>584323908</v>
      </c>
      <c r="B81" s="19" t="s">
        <v>1698</v>
      </c>
      <c r="C81" s="19" t="s">
        <v>1699</v>
      </c>
      <c r="D81" s="19" t="s">
        <v>1687</v>
      </c>
      <c r="E81" s="19" t="s">
        <v>1777</v>
      </c>
      <c r="F81" s="19">
        <v>508804198</v>
      </c>
      <c r="G81" s="19">
        <v>12</v>
      </c>
      <c r="H81" s="19">
        <v>12</v>
      </c>
      <c r="I81" s="19">
        <v>3404</v>
      </c>
      <c r="J81" s="25">
        <v>0.914219</v>
      </c>
      <c r="K81" s="26">
        <v>3503.9822879999997</v>
      </c>
      <c r="L81" s="26">
        <v>6636</v>
      </c>
      <c r="M81" s="26">
        <v>9</v>
      </c>
      <c r="N81" s="26">
        <v>8</v>
      </c>
      <c r="O81" s="27">
        <v>17</v>
      </c>
      <c r="P81" s="19">
        <v>22</v>
      </c>
      <c r="Q81" s="19">
        <v>4</v>
      </c>
      <c r="R81" s="19" t="s">
        <v>1941</v>
      </c>
      <c r="S81" s="26">
        <v>19847.259999999995</v>
      </c>
      <c r="T81" s="28">
        <v>0</v>
      </c>
      <c r="U81" s="19">
        <v>0</v>
      </c>
      <c r="V81" s="19" t="s">
        <v>431</v>
      </c>
      <c r="W81" s="19"/>
      <c r="X81" t="b">
        <f>VLOOKUP(B81,'M10B Order'!B:F,5,FALSE)=W81</f>
        <v>1</v>
      </c>
    </row>
    <row r="82" spans="1:24" x14ac:dyDescent="0.2">
      <c r="A82" s="19">
        <v>584323907</v>
      </c>
      <c r="B82" s="19" t="s">
        <v>1690</v>
      </c>
      <c r="C82" s="19" t="s">
        <v>1691</v>
      </c>
      <c r="D82" s="19" t="s">
        <v>1687</v>
      </c>
      <c r="E82" s="19" t="s">
        <v>1777</v>
      </c>
      <c r="F82" s="19">
        <v>508804198</v>
      </c>
      <c r="G82" s="19">
        <v>12</v>
      </c>
      <c r="H82" s="19">
        <v>12</v>
      </c>
      <c r="I82" s="19">
        <v>856</v>
      </c>
      <c r="J82" s="25">
        <v>0.95093499999999997</v>
      </c>
      <c r="K82" s="26">
        <v>503.99568000000028</v>
      </c>
      <c r="L82" s="26">
        <v>2148</v>
      </c>
      <c r="M82" s="26">
        <v>9</v>
      </c>
      <c r="N82" s="26">
        <v>8</v>
      </c>
      <c r="O82" s="27">
        <v>17</v>
      </c>
      <c r="P82" s="19">
        <v>22</v>
      </c>
      <c r="Q82" s="19">
        <v>4</v>
      </c>
      <c r="R82" s="19" t="s">
        <v>1941</v>
      </c>
      <c r="S82" s="26">
        <v>8357.91</v>
      </c>
      <c r="T82" s="28">
        <v>0</v>
      </c>
      <c r="U82" s="19">
        <v>0</v>
      </c>
      <c r="V82" s="19" t="s">
        <v>431</v>
      </c>
      <c r="W82" s="19"/>
      <c r="X82" t="b">
        <f>VLOOKUP(B82,'M10B Order'!B:F,5,FALSE)=W82</f>
        <v>1</v>
      </c>
    </row>
    <row r="83" spans="1:24" x14ac:dyDescent="0.2">
      <c r="A83" s="19">
        <v>584323913</v>
      </c>
      <c r="B83" s="19" t="s">
        <v>1710</v>
      </c>
      <c r="C83" s="19" t="s">
        <v>1711</v>
      </c>
      <c r="D83" s="19" t="s">
        <v>1687</v>
      </c>
      <c r="E83" s="19" t="s">
        <v>1777</v>
      </c>
      <c r="F83" s="19">
        <v>508804198</v>
      </c>
      <c r="G83" s="19">
        <v>12</v>
      </c>
      <c r="H83" s="19">
        <v>12</v>
      </c>
      <c r="I83" s="19">
        <v>856</v>
      </c>
      <c r="J83" s="25">
        <v>0.95560699999999998</v>
      </c>
      <c r="K83" s="26">
        <v>456.00489600000014</v>
      </c>
      <c r="L83" s="26">
        <v>0</v>
      </c>
      <c r="M83" s="26">
        <v>9</v>
      </c>
      <c r="N83" s="26">
        <v>8</v>
      </c>
      <c r="O83" s="27">
        <v>17</v>
      </c>
      <c r="P83" s="19">
        <v>22</v>
      </c>
      <c r="Q83" s="19">
        <v>4</v>
      </c>
      <c r="R83" s="19" t="s">
        <v>1941</v>
      </c>
      <c r="S83" s="26">
        <v>5623.64</v>
      </c>
      <c r="T83" s="28">
        <v>0</v>
      </c>
      <c r="U83" s="19">
        <v>0</v>
      </c>
      <c r="V83" s="19" t="s">
        <v>431</v>
      </c>
      <c r="W83" s="19"/>
      <c r="X83" t="b">
        <f>VLOOKUP(B83,'M10B Order'!B:F,5,FALSE)=W83</f>
        <v>1</v>
      </c>
    </row>
    <row r="84" spans="1:24" x14ac:dyDescent="0.2">
      <c r="A84" s="19">
        <v>584323912</v>
      </c>
      <c r="B84" s="19" t="s">
        <v>1712</v>
      </c>
      <c r="C84" s="19" t="s">
        <v>1713</v>
      </c>
      <c r="D84" s="19" t="s">
        <v>1687</v>
      </c>
      <c r="E84" s="19" t="s">
        <v>1777</v>
      </c>
      <c r="F84" s="19">
        <v>508804198</v>
      </c>
      <c r="G84" s="19">
        <v>12</v>
      </c>
      <c r="H84" s="19">
        <v>12</v>
      </c>
      <c r="I84" s="19">
        <v>856</v>
      </c>
      <c r="J84" s="25">
        <v>0.97313099999999997</v>
      </c>
      <c r="K84" s="26">
        <v>275.99836800000031</v>
      </c>
      <c r="L84" s="26">
        <v>2184</v>
      </c>
      <c r="M84" s="26">
        <v>9</v>
      </c>
      <c r="N84" s="26">
        <v>8</v>
      </c>
      <c r="O84" s="27">
        <v>17</v>
      </c>
      <c r="P84" s="19">
        <v>22</v>
      </c>
      <c r="Q84" s="19">
        <v>4</v>
      </c>
      <c r="R84" s="19" t="s">
        <v>1941</v>
      </c>
      <c r="S84" s="26">
        <v>799.53836799999954</v>
      </c>
      <c r="T84" s="28">
        <v>23</v>
      </c>
      <c r="U84" s="19">
        <v>0</v>
      </c>
      <c r="V84" s="19" t="s">
        <v>431</v>
      </c>
      <c r="W84" s="19"/>
      <c r="X84" t="b">
        <f>VLOOKUP(B84,'M10B Order'!B:F,5,FALSE)=W84</f>
        <v>1</v>
      </c>
    </row>
    <row r="85" spans="1:24" x14ac:dyDescent="0.2">
      <c r="A85" s="19">
        <v>579058147</v>
      </c>
      <c r="B85" s="19" t="s">
        <v>1143</v>
      </c>
      <c r="C85" s="19" t="s">
        <v>1144</v>
      </c>
      <c r="D85" s="19" t="s">
        <v>1134</v>
      </c>
      <c r="E85" s="19" t="s">
        <v>1778</v>
      </c>
      <c r="F85" s="19">
        <v>508804191</v>
      </c>
      <c r="G85" s="19">
        <v>8</v>
      </c>
      <c r="H85" s="19">
        <v>8</v>
      </c>
      <c r="I85" s="19">
        <v>1031</v>
      </c>
      <c r="J85" s="25">
        <v>0.86614899999999995</v>
      </c>
      <c r="K85" s="26">
        <v>1104.0030480000005</v>
      </c>
      <c r="L85" s="26">
        <v>1656</v>
      </c>
      <c r="M85" s="26">
        <v>11</v>
      </c>
      <c r="N85" s="26">
        <v>8</v>
      </c>
      <c r="O85" s="27">
        <v>19</v>
      </c>
      <c r="P85" s="19">
        <v>12</v>
      </c>
      <c r="Q85" s="19">
        <v>1</v>
      </c>
      <c r="R85" s="19" t="s">
        <v>1945</v>
      </c>
      <c r="S85" s="26">
        <v>602.98000000000013</v>
      </c>
      <c r="T85" s="28">
        <v>11</v>
      </c>
      <c r="U85" s="19">
        <v>0</v>
      </c>
      <c r="V85" s="19" t="s">
        <v>431</v>
      </c>
      <c r="W85" s="19"/>
      <c r="X85" t="b">
        <f>VLOOKUP(B85,'M10B Order'!B:F,5,FALSE)=W85</f>
        <v>1</v>
      </c>
    </row>
    <row r="86" spans="1:24" x14ac:dyDescent="0.2">
      <c r="A86" s="19">
        <v>573626487</v>
      </c>
      <c r="B86" s="19" t="s">
        <v>834</v>
      </c>
      <c r="C86" s="19" t="s">
        <v>835</v>
      </c>
      <c r="D86" s="19" t="s">
        <v>827</v>
      </c>
      <c r="E86" s="19" t="s">
        <v>1777</v>
      </c>
      <c r="F86" s="19">
        <v>508804192</v>
      </c>
      <c r="G86" s="19">
        <v>4</v>
      </c>
      <c r="H86" s="19">
        <v>24</v>
      </c>
      <c r="I86" s="19">
        <v>3873</v>
      </c>
      <c r="J86" s="25">
        <v>0.97727900000000001</v>
      </c>
      <c r="K86" s="26">
        <v>351.99373199999985</v>
      </c>
      <c r="L86" s="26">
        <v>18456</v>
      </c>
      <c r="M86" s="26">
        <v>9</v>
      </c>
      <c r="N86" s="26">
        <v>8</v>
      </c>
      <c r="O86" s="27">
        <v>17</v>
      </c>
      <c r="P86" s="19">
        <v>12</v>
      </c>
      <c r="Q86" s="19">
        <v>4</v>
      </c>
      <c r="R86" s="19" t="s">
        <v>1941</v>
      </c>
      <c r="S86" s="26">
        <v>6302.1137319999998</v>
      </c>
      <c r="T86" s="28">
        <v>12</v>
      </c>
      <c r="U86" s="19">
        <v>0</v>
      </c>
      <c r="V86" s="19" t="s">
        <v>431</v>
      </c>
      <c r="W86" s="19"/>
      <c r="X86" t="b">
        <f>VLOOKUP(B86,'M10B Order'!B:F,5,FALSE)=W86</f>
        <v>1</v>
      </c>
    </row>
    <row r="87" spans="1:24" x14ac:dyDescent="0.2">
      <c r="A87" s="19">
        <v>555086362</v>
      </c>
      <c r="B87" s="19" t="s">
        <v>428</v>
      </c>
      <c r="C87" s="19" t="s">
        <v>429</v>
      </c>
      <c r="D87" s="19" t="s">
        <v>423</v>
      </c>
      <c r="E87" s="19" t="s">
        <v>1777</v>
      </c>
      <c r="F87" s="19">
        <v>508804191</v>
      </c>
      <c r="G87" s="19">
        <v>8</v>
      </c>
      <c r="H87" s="19">
        <v>8</v>
      </c>
      <c r="I87" s="19">
        <v>3325</v>
      </c>
      <c r="J87" s="25">
        <v>0.74135300000000004</v>
      </c>
      <c r="K87" s="26">
        <v>6880.0101999999988</v>
      </c>
      <c r="L87" s="26">
        <v>0</v>
      </c>
      <c r="M87" s="26">
        <v>7</v>
      </c>
      <c r="N87" s="26">
        <v>6</v>
      </c>
      <c r="O87" s="27">
        <v>13</v>
      </c>
      <c r="P87" s="19">
        <v>12</v>
      </c>
      <c r="Q87" s="19">
        <v>4</v>
      </c>
      <c r="R87" s="19" t="s">
        <v>1940</v>
      </c>
      <c r="S87" s="26">
        <v>10911.910199999998</v>
      </c>
      <c r="T87" s="28">
        <v>0</v>
      </c>
      <c r="U87" s="19" t="s">
        <v>636</v>
      </c>
      <c r="V87" s="19">
        <v>19146.350000000002</v>
      </c>
      <c r="W87" s="26">
        <v>10911.910199999998</v>
      </c>
      <c r="X87" t="b">
        <f>VLOOKUP(B87,'M10B Order'!B:F,5,FALSE)=W87</f>
        <v>1</v>
      </c>
    </row>
    <row r="88" spans="1:24" x14ac:dyDescent="0.2">
      <c r="A88" s="19">
        <v>555086367</v>
      </c>
      <c r="B88" s="19" t="s">
        <v>424</v>
      </c>
      <c r="C88" s="19" t="s">
        <v>425</v>
      </c>
      <c r="D88" s="19" t="s">
        <v>423</v>
      </c>
      <c r="E88" s="19" t="s">
        <v>1777</v>
      </c>
      <c r="F88" s="19">
        <v>508804191</v>
      </c>
      <c r="G88" s="19">
        <v>8</v>
      </c>
      <c r="H88" s="19">
        <v>8</v>
      </c>
      <c r="I88" s="19">
        <v>962</v>
      </c>
      <c r="J88" s="25">
        <v>0.76715199999999995</v>
      </c>
      <c r="K88" s="26">
        <v>1791.9982080000004</v>
      </c>
      <c r="L88" s="26">
        <v>0</v>
      </c>
      <c r="M88" s="26">
        <v>7</v>
      </c>
      <c r="N88" s="26">
        <v>6</v>
      </c>
      <c r="O88" s="27">
        <v>13</v>
      </c>
      <c r="P88" s="19">
        <v>12</v>
      </c>
      <c r="Q88" s="19">
        <v>4</v>
      </c>
      <c r="R88" s="19" t="s">
        <v>1940</v>
      </c>
      <c r="S88" s="26">
        <v>4447.3582079999996</v>
      </c>
      <c r="T88" s="28">
        <v>0</v>
      </c>
      <c r="U88" s="19" t="s">
        <v>638</v>
      </c>
      <c r="V88" s="19">
        <v>6830.73</v>
      </c>
      <c r="W88" s="26">
        <v>4447.3582079999996</v>
      </c>
      <c r="X88" t="b">
        <f>VLOOKUP(B88,'M10B Order'!B:F,5,FALSE)=W88</f>
        <v>1</v>
      </c>
    </row>
    <row r="89" spans="1:24" x14ac:dyDescent="0.2">
      <c r="A89" s="19">
        <v>580594313</v>
      </c>
      <c r="B89" s="19" t="s">
        <v>1683</v>
      </c>
      <c r="C89" s="19" t="s">
        <v>1684</v>
      </c>
      <c r="D89" s="19" t="s">
        <v>423</v>
      </c>
      <c r="E89" s="19" t="s">
        <v>1777</v>
      </c>
      <c r="F89" s="19">
        <v>508804191</v>
      </c>
      <c r="G89" s="19">
        <v>8</v>
      </c>
      <c r="H89" s="19">
        <v>8</v>
      </c>
      <c r="I89" s="19">
        <v>950</v>
      </c>
      <c r="J89" s="25">
        <v>0.94</v>
      </c>
      <c r="K89" s="26">
        <v>456.0000000000004</v>
      </c>
      <c r="L89" s="26">
        <v>80</v>
      </c>
      <c r="M89" s="26">
        <v>7</v>
      </c>
      <c r="N89" s="26">
        <v>6</v>
      </c>
      <c r="O89" s="27">
        <v>13</v>
      </c>
      <c r="P89" s="19">
        <v>12</v>
      </c>
      <c r="Q89" s="19">
        <v>4</v>
      </c>
      <c r="R89" s="19" t="s">
        <v>1940</v>
      </c>
      <c r="S89" s="26">
        <v>4430.3799999999992</v>
      </c>
      <c r="T89" s="28">
        <v>0</v>
      </c>
      <c r="U89" s="19">
        <v>0</v>
      </c>
      <c r="V89" s="19" t="s">
        <v>431</v>
      </c>
      <c r="W89" s="26">
        <v>4430.3799999999992</v>
      </c>
      <c r="X89" t="b">
        <f>VLOOKUP(B89,'M10B Order'!B:F,5,FALSE)=W89</f>
        <v>1</v>
      </c>
    </row>
    <row r="90" spans="1:24" x14ac:dyDescent="0.2">
      <c r="A90" s="19">
        <v>555086364</v>
      </c>
      <c r="B90" s="19" t="s">
        <v>426</v>
      </c>
      <c r="C90" s="19" t="s">
        <v>427</v>
      </c>
      <c r="D90" s="19" t="s">
        <v>423</v>
      </c>
      <c r="E90" s="19" t="s">
        <v>1777</v>
      </c>
      <c r="F90" s="19">
        <v>508804191</v>
      </c>
      <c r="G90" s="19">
        <v>8</v>
      </c>
      <c r="H90" s="19">
        <v>8</v>
      </c>
      <c r="I90" s="19">
        <v>1580</v>
      </c>
      <c r="J90" s="25">
        <v>0.80759499999999995</v>
      </c>
      <c r="K90" s="26">
        <v>2431.9992000000007</v>
      </c>
      <c r="L90" s="26">
        <v>0</v>
      </c>
      <c r="M90" s="26">
        <v>7</v>
      </c>
      <c r="N90" s="26">
        <v>6</v>
      </c>
      <c r="O90" s="27">
        <v>13</v>
      </c>
      <c r="P90" s="19">
        <v>12</v>
      </c>
      <c r="Q90" s="19">
        <v>4</v>
      </c>
      <c r="R90" s="19" t="s">
        <v>1940</v>
      </c>
      <c r="S90" s="26">
        <v>4360.5092000000004</v>
      </c>
      <c r="T90" s="28">
        <v>0</v>
      </c>
      <c r="U90" s="19" t="s">
        <v>634</v>
      </c>
      <c r="V90" s="19">
        <v>16705.57</v>
      </c>
      <c r="W90" s="26">
        <v>4360.5092000000004</v>
      </c>
      <c r="X90" t="b">
        <f>VLOOKUP(B90,'M10B Order'!B:F,5,FALSE)=W90</f>
        <v>1</v>
      </c>
    </row>
    <row r="91" spans="1:24" x14ac:dyDescent="0.2">
      <c r="A91" s="19">
        <v>580594311</v>
      </c>
      <c r="B91" s="19" t="s">
        <v>1685</v>
      </c>
      <c r="C91" s="19" t="s">
        <v>1686</v>
      </c>
      <c r="D91" s="19" t="s">
        <v>423</v>
      </c>
      <c r="E91" s="19" t="s">
        <v>1777</v>
      </c>
      <c r="F91" s="19">
        <v>508804191</v>
      </c>
      <c r="G91" s="19">
        <v>8</v>
      </c>
      <c r="H91" s="19">
        <v>8</v>
      </c>
      <c r="I91" s="19">
        <v>355</v>
      </c>
      <c r="J91" s="25">
        <v>0.96338000000000001</v>
      </c>
      <c r="K91" s="26">
        <v>104.00079999999996</v>
      </c>
      <c r="L91" s="26">
        <v>552</v>
      </c>
      <c r="M91" s="26">
        <v>7</v>
      </c>
      <c r="N91" s="26">
        <v>6</v>
      </c>
      <c r="O91" s="27">
        <v>13</v>
      </c>
      <c r="P91" s="19">
        <v>12</v>
      </c>
      <c r="Q91" s="19">
        <v>4</v>
      </c>
      <c r="R91" s="19" t="s">
        <v>1940</v>
      </c>
      <c r="S91" s="26">
        <v>964.05</v>
      </c>
      <c r="T91" s="28">
        <v>0</v>
      </c>
      <c r="U91" s="19">
        <v>0</v>
      </c>
      <c r="V91" s="19" t="s">
        <v>431</v>
      </c>
      <c r="W91" s="26">
        <v>3000</v>
      </c>
      <c r="X91" t="b">
        <f>VLOOKUP(B91,'M10B Order'!B:F,5,FALSE)=W91</f>
        <v>1</v>
      </c>
    </row>
    <row r="92" spans="1:24" x14ac:dyDescent="0.2">
      <c r="A92" s="19">
        <v>578808788</v>
      </c>
      <c r="B92" s="19" t="s">
        <v>1669</v>
      </c>
      <c r="C92" s="19" t="s">
        <v>1670</v>
      </c>
      <c r="D92" s="19" t="s">
        <v>368</v>
      </c>
      <c r="E92" s="19" t="s">
        <v>1778</v>
      </c>
      <c r="F92" s="19">
        <v>508804192</v>
      </c>
      <c r="G92" s="19">
        <v>4</v>
      </c>
      <c r="H92" s="19">
        <v>24</v>
      </c>
      <c r="I92" s="19">
        <v>3872</v>
      </c>
      <c r="J92" s="25">
        <v>0.95609500000000003</v>
      </c>
      <c r="K92" s="26">
        <v>680.00063999999952</v>
      </c>
      <c r="L92" s="26">
        <v>2856</v>
      </c>
      <c r="M92" s="26">
        <v>9</v>
      </c>
      <c r="N92" s="26">
        <v>8</v>
      </c>
      <c r="O92" s="27">
        <v>17</v>
      </c>
      <c r="P92" s="19">
        <v>12</v>
      </c>
      <c r="Q92" s="19">
        <v>1</v>
      </c>
      <c r="R92" s="19" t="s">
        <v>1941</v>
      </c>
      <c r="S92" s="26">
        <v>22337.170000000002</v>
      </c>
      <c r="T92" s="28">
        <v>5</v>
      </c>
      <c r="U92" s="19" t="s">
        <v>431</v>
      </c>
      <c r="V92" s="19" t="s">
        <v>431</v>
      </c>
      <c r="W92" s="19"/>
      <c r="X92" t="b">
        <f>VLOOKUP(B92,'M10B Order'!B:F,5,FALSE)=W92</f>
        <v>1</v>
      </c>
    </row>
    <row r="93" spans="1:24" x14ac:dyDescent="0.2">
      <c r="A93" s="19">
        <v>554726699</v>
      </c>
      <c r="B93" s="19" t="s">
        <v>137</v>
      </c>
      <c r="C93" s="19" t="s">
        <v>136</v>
      </c>
      <c r="D93" s="19" t="s">
        <v>368</v>
      </c>
      <c r="E93" s="19" t="s">
        <v>1778</v>
      </c>
      <c r="F93" s="19">
        <v>508804192</v>
      </c>
      <c r="G93" s="19">
        <v>4</v>
      </c>
      <c r="H93" s="19">
        <v>24</v>
      </c>
      <c r="I93" s="19">
        <v>3887</v>
      </c>
      <c r="J93" s="25">
        <v>0.966812</v>
      </c>
      <c r="K93" s="26">
        <v>516.00702399999989</v>
      </c>
      <c r="L93" s="26">
        <v>18744</v>
      </c>
      <c r="M93" s="26">
        <v>9</v>
      </c>
      <c r="N93" s="26">
        <v>8</v>
      </c>
      <c r="O93" s="27">
        <v>17</v>
      </c>
      <c r="P93" s="19">
        <v>12</v>
      </c>
      <c r="Q93" s="19">
        <v>1</v>
      </c>
      <c r="R93" s="19" t="s">
        <v>1941</v>
      </c>
      <c r="S93" s="26">
        <v>16315.347023999995</v>
      </c>
      <c r="T93" s="28">
        <v>5</v>
      </c>
      <c r="U93" s="19" t="s">
        <v>1039</v>
      </c>
      <c r="V93" s="19" t="s">
        <v>431</v>
      </c>
      <c r="W93" s="19"/>
      <c r="X93" t="b">
        <f>VLOOKUP(B93,'M10B Order'!B:F,5,FALSE)=W93</f>
        <v>1</v>
      </c>
    </row>
    <row r="94" spans="1:24" x14ac:dyDescent="0.2">
      <c r="A94" s="19">
        <v>573626668</v>
      </c>
      <c r="B94" s="19" t="s">
        <v>807</v>
      </c>
      <c r="C94" s="19" t="s">
        <v>808</v>
      </c>
      <c r="D94" s="19" t="s">
        <v>368</v>
      </c>
      <c r="E94" s="19" t="s">
        <v>1778</v>
      </c>
      <c r="F94" s="19">
        <v>508804192</v>
      </c>
      <c r="G94" s="19">
        <v>4</v>
      </c>
      <c r="H94" s="19">
        <v>24</v>
      </c>
      <c r="I94" s="19">
        <v>3872</v>
      </c>
      <c r="J94" s="25">
        <v>0.96590900000000002</v>
      </c>
      <c r="K94" s="26">
        <v>528.00140799999974</v>
      </c>
      <c r="L94" s="26">
        <v>8280</v>
      </c>
      <c r="M94" s="26">
        <v>9</v>
      </c>
      <c r="N94" s="26">
        <v>8</v>
      </c>
      <c r="O94" s="27">
        <v>17</v>
      </c>
      <c r="P94" s="19">
        <v>12</v>
      </c>
      <c r="Q94" s="19">
        <v>1</v>
      </c>
      <c r="R94" s="19" t="s">
        <v>1941</v>
      </c>
      <c r="S94" s="26">
        <v>12247.351407999999</v>
      </c>
      <c r="T94" s="28">
        <v>4</v>
      </c>
      <c r="U94" s="19" t="s">
        <v>743</v>
      </c>
      <c r="V94" s="19">
        <v>0</v>
      </c>
      <c r="W94" s="19"/>
      <c r="X94" t="b">
        <f>VLOOKUP(B94,'M10B Order'!B:F,5,FALSE)=W94</f>
        <v>1</v>
      </c>
    </row>
    <row r="95" spans="1:24" x14ac:dyDescent="0.2">
      <c r="A95" s="19">
        <v>554040401</v>
      </c>
      <c r="B95" s="19" t="s">
        <v>196</v>
      </c>
      <c r="C95" s="19" t="s">
        <v>195</v>
      </c>
      <c r="D95" s="19" t="s">
        <v>368</v>
      </c>
      <c r="E95" s="19" t="s">
        <v>1778</v>
      </c>
      <c r="F95" s="19">
        <v>508804192</v>
      </c>
      <c r="G95" s="19">
        <v>4</v>
      </c>
      <c r="H95" s="19">
        <v>24</v>
      </c>
      <c r="I95" s="19">
        <v>3887</v>
      </c>
      <c r="J95" s="25">
        <v>0.959094</v>
      </c>
      <c r="K95" s="26">
        <v>636.00648799999999</v>
      </c>
      <c r="L95" s="26">
        <v>49488</v>
      </c>
      <c r="M95" s="26">
        <v>9</v>
      </c>
      <c r="N95" s="26">
        <v>8</v>
      </c>
      <c r="O95" s="27">
        <v>17</v>
      </c>
      <c r="P95" s="19">
        <v>12</v>
      </c>
      <c r="Q95" s="19">
        <v>1</v>
      </c>
      <c r="R95" s="19" t="s">
        <v>1941</v>
      </c>
      <c r="S95" s="26">
        <v>9121.4564879999944</v>
      </c>
      <c r="T95" s="28">
        <v>8</v>
      </c>
      <c r="U95" s="19" t="s">
        <v>1039</v>
      </c>
      <c r="V95" s="19" t="s">
        <v>431</v>
      </c>
      <c r="W95" s="19"/>
      <c r="X95" t="b">
        <f>VLOOKUP(B95,'M10B Order'!B:F,5,FALSE)=W95</f>
        <v>1</v>
      </c>
    </row>
    <row r="96" spans="1:24" x14ac:dyDescent="0.2">
      <c r="A96" s="19">
        <v>578808786</v>
      </c>
      <c r="B96" s="19" t="s">
        <v>1667</v>
      </c>
      <c r="C96" s="19" t="s">
        <v>1668</v>
      </c>
      <c r="D96" s="19" t="s">
        <v>368</v>
      </c>
      <c r="E96" s="19" t="s">
        <v>1778</v>
      </c>
      <c r="F96" s="19">
        <v>508804192</v>
      </c>
      <c r="G96" s="19">
        <v>4</v>
      </c>
      <c r="H96" s="19">
        <v>24</v>
      </c>
      <c r="I96" s="19">
        <v>3873</v>
      </c>
      <c r="J96" s="25">
        <v>0.960754</v>
      </c>
      <c r="K96" s="26">
        <v>607.99903200000006</v>
      </c>
      <c r="L96" s="26">
        <v>19104</v>
      </c>
      <c r="M96" s="26">
        <v>9</v>
      </c>
      <c r="N96" s="26">
        <v>8</v>
      </c>
      <c r="O96" s="27">
        <v>17</v>
      </c>
      <c r="P96" s="19">
        <v>12</v>
      </c>
      <c r="Q96" s="19">
        <v>1</v>
      </c>
      <c r="R96" s="19" t="s">
        <v>1941</v>
      </c>
      <c r="S96" s="26">
        <v>8849.5790320000051</v>
      </c>
      <c r="T96" s="28">
        <v>9</v>
      </c>
      <c r="U96" s="19" t="s">
        <v>431</v>
      </c>
      <c r="V96" s="19" t="s">
        <v>431</v>
      </c>
      <c r="W96" s="19"/>
      <c r="X96" t="b">
        <f>VLOOKUP(B96,'M10B Order'!B:F,5,FALSE)=W96</f>
        <v>1</v>
      </c>
    </row>
    <row r="97" spans="1:24" x14ac:dyDescent="0.2">
      <c r="A97" s="19">
        <v>573626604</v>
      </c>
      <c r="B97" s="19" t="s">
        <v>793</v>
      </c>
      <c r="C97" s="19" t="s">
        <v>794</v>
      </c>
      <c r="D97" s="19" t="s">
        <v>368</v>
      </c>
      <c r="E97" s="19" t="s">
        <v>1778</v>
      </c>
      <c r="F97" s="19">
        <v>508804192</v>
      </c>
      <c r="G97" s="19">
        <v>4</v>
      </c>
      <c r="H97" s="19">
        <v>24</v>
      </c>
      <c r="I97" s="19">
        <v>3870</v>
      </c>
      <c r="J97" s="25">
        <v>0.96950899999999995</v>
      </c>
      <c r="K97" s="26">
        <v>472.00068000000073</v>
      </c>
      <c r="L97" s="26">
        <v>29112</v>
      </c>
      <c r="M97" s="26">
        <v>9</v>
      </c>
      <c r="N97" s="26">
        <v>8</v>
      </c>
      <c r="O97" s="27">
        <v>17</v>
      </c>
      <c r="P97" s="19">
        <v>12</v>
      </c>
      <c r="Q97" s="19">
        <v>1</v>
      </c>
      <c r="R97" s="19" t="s">
        <v>1941</v>
      </c>
      <c r="S97" s="26">
        <v>6889.7906799999982</v>
      </c>
      <c r="T97" s="28">
        <v>10</v>
      </c>
      <c r="U97" s="19" t="s">
        <v>431</v>
      </c>
      <c r="V97" s="19" t="s">
        <v>431</v>
      </c>
      <c r="X97" t="b">
        <f>VLOOKUP(B97,'M10B Order'!B:F,5,FALSE)=W97</f>
        <v>1</v>
      </c>
    </row>
    <row r="98" spans="1:24" x14ac:dyDescent="0.2">
      <c r="A98" s="19">
        <v>578808735</v>
      </c>
      <c r="B98" s="19" t="s">
        <v>1665</v>
      </c>
      <c r="C98" s="19" t="s">
        <v>1666</v>
      </c>
      <c r="D98" s="19" t="s">
        <v>368</v>
      </c>
      <c r="E98" s="19" t="s">
        <v>1778</v>
      </c>
      <c r="F98" s="19">
        <v>508804192</v>
      </c>
      <c r="G98" s="19">
        <v>4</v>
      </c>
      <c r="H98" s="19">
        <v>24</v>
      </c>
      <c r="I98" s="19">
        <v>1262</v>
      </c>
      <c r="J98" s="25">
        <v>0.94532499999999997</v>
      </c>
      <c r="K98" s="26">
        <v>275.99940000000015</v>
      </c>
      <c r="L98" s="26">
        <v>7896</v>
      </c>
      <c r="M98" s="26">
        <v>9</v>
      </c>
      <c r="N98" s="26">
        <v>8</v>
      </c>
      <c r="O98" s="27">
        <v>17</v>
      </c>
      <c r="P98" s="19">
        <v>12</v>
      </c>
      <c r="Q98" s="19">
        <v>1</v>
      </c>
      <c r="R98" s="19" t="s">
        <v>1941</v>
      </c>
      <c r="S98" s="26">
        <v>4041.6694000000002</v>
      </c>
      <c r="T98" s="28">
        <v>5</v>
      </c>
      <c r="U98" s="19" t="s">
        <v>431</v>
      </c>
      <c r="V98" s="19" t="s">
        <v>431</v>
      </c>
      <c r="X98" t="b">
        <f>VLOOKUP(B98,'M10B Order'!B:F,5,FALSE)=W98</f>
        <v>1</v>
      </c>
    </row>
    <row r="99" spans="1:24" x14ac:dyDescent="0.2">
      <c r="A99" s="19">
        <v>578808787</v>
      </c>
      <c r="B99" s="19" t="s">
        <v>1673</v>
      </c>
      <c r="C99" s="19" t="s">
        <v>1674</v>
      </c>
      <c r="D99" s="19" t="s">
        <v>368</v>
      </c>
      <c r="E99" s="19" t="s">
        <v>1778</v>
      </c>
      <c r="F99" s="19">
        <v>508804192</v>
      </c>
      <c r="G99" s="19">
        <v>4</v>
      </c>
      <c r="H99" s="19">
        <v>24</v>
      </c>
      <c r="I99" s="19">
        <v>1233</v>
      </c>
      <c r="J99" s="25">
        <v>0.974047</v>
      </c>
      <c r="K99" s="26">
        <v>128.00019600000002</v>
      </c>
      <c r="L99" s="26">
        <v>4632</v>
      </c>
      <c r="M99" s="26">
        <v>9</v>
      </c>
      <c r="N99" s="26">
        <v>8</v>
      </c>
      <c r="O99" s="27">
        <v>17</v>
      </c>
      <c r="P99" s="19">
        <v>12</v>
      </c>
      <c r="Q99" s="19">
        <v>1</v>
      </c>
      <c r="R99" s="19" t="s">
        <v>1941</v>
      </c>
      <c r="S99" s="26">
        <v>2387.600195999999</v>
      </c>
      <c r="T99" s="28">
        <v>4</v>
      </c>
      <c r="U99" s="19" t="s">
        <v>1451</v>
      </c>
      <c r="V99" s="19">
        <v>0</v>
      </c>
      <c r="X99" t="b">
        <f>VLOOKUP(B99,'M10B Order'!B:F,5,FALSE)=W99</f>
        <v>1</v>
      </c>
    </row>
    <row r="100" spans="1:24" x14ac:dyDescent="0.2">
      <c r="A100" s="19">
        <v>578808778</v>
      </c>
      <c r="B100" s="19" t="s">
        <v>1671</v>
      </c>
      <c r="C100" s="19" t="s">
        <v>1672</v>
      </c>
      <c r="D100" s="19" t="s">
        <v>368</v>
      </c>
      <c r="E100" s="19" t="s">
        <v>1778</v>
      </c>
      <c r="F100" s="19">
        <v>508804192</v>
      </c>
      <c r="G100" s="19">
        <v>4</v>
      </c>
      <c r="H100" s="19">
        <v>24</v>
      </c>
      <c r="I100" s="19">
        <v>1234</v>
      </c>
      <c r="J100" s="25">
        <v>0.94084299999999998</v>
      </c>
      <c r="K100" s="26">
        <v>291.99895200000009</v>
      </c>
      <c r="L100" s="26">
        <v>5232</v>
      </c>
      <c r="M100" s="26">
        <v>9</v>
      </c>
      <c r="N100" s="26">
        <v>8</v>
      </c>
      <c r="O100" s="27">
        <v>17</v>
      </c>
      <c r="P100" s="19">
        <v>12</v>
      </c>
      <c r="Q100" s="19">
        <v>1</v>
      </c>
      <c r="R100" s="19" t="s">
        <v>1941</v>
      </c>
      <c r="S100" s="26">
        <v>1005.4089519999993</v>
      </c>
      <c r="T100" s="28">
        <v>10</v>
      </c>
      <c r="U100" s="19" t="s">
        <v>431</v>
      </c>
      <c r="V100" s="19" t="s">
        <v>431</v>
      </c>
      <c r="X100" t="b">
        <f>VLOOKUP(B100,'M10B Order'!B:F,5,FALSE)=W100</f>
        <v>1</v>
      </c>
    </row>
    <row r="101" spans="1:24" x14ac:dyDescent="0.2">
      <c r="A101" s="19">
        <v>554738283</v>
      </c>
      <c r="B101" s="19" t="s">
        <v>59</v>
      </c>
      <c r="C101" s="19" t="s">
        <v>58</v>
      </c>
      <c r="D101" s="19" t="s">
        <v>368</v>
      </c>
      <c r="E101" s="19" t="s">
        <v>1778</v>
      </c>
      <c r="F101" s="19">
        <v>508804192</v>
      </c>
      <c r="G101" s="19">
        <v>4</v>
      </c>
      <c r="H101" s="19">
        <v>24</v>
      </c>
      <c r="I101" s="19">
        <v>1247</v>
      </c>
      <c r="J101" s="25">
        <v>0.92862900000000004</v>
      </c>
      <c r="K101" s="26">
        <v>355.9985479999998</v>
      </c>
      <c r="L101" s="26">
        <v>9720</v>
      </c>
      <c r="M101" s="26">
        <v>9</v>
      </c>
      <c r="N101" s="26">
        <v>8</v>
      </c>
      <c r="O101" s="27">
        <v>17</v>
      </c>
      <c r="P101" s="19">
        <v>12</v>
      </c>
      <c r="Q101" s="19">
        <v>1</v>
      </c>
      <c r="R101" s="19" t="s">
        <v>1941</v>
      </c>
      <c r="S101" s="26">
        <v>508.57854799999831</v>
      </c>
      <c r="T101" s="28">
        <v>11</v>
      </c>
      <c r="U101" s="19" t="s">
        <v>1039</v>
      </c>
      <c r="V101" s="19" t="s">
        <v>431</v>
      </c>
      <c r="X101" t="b">
        <f>VLOOKUP(B101,'M10B Order'!B:F,5,FALSE)=W101</f>
        <v>1</v>
      </c>
    </row>
    <row r="102" spans="1:24" x14ac:dyDescent="0.2">
      <c r="A102" s="19">
        <v>554737862</v>
      </c>
      <c r="B102" s="19" t="s">
        <v>41</v>
      </c>
      <c r="C102" s="19" t="s">
        <v>40</v>
      </c>
      <c r="D102" s="19" t="s">
        <v>369</v>
      </c>
      <c r="E102" s="19" t="s">
        <v>1777</v>
      </c>
      <c r="F102" s="19">
        <v>508804192</v>
      </c>
      <c r="G102" s="19">
        <v>4</v>
      </c>
      <c r="H102" s="19">
        <v>24</v>
      </c>
      <c r="I102" s="19">
        <v>3887</v>
      </c>
      <c r="J102" s="25">
        <v>0.94159999999999999</v>
      </c>
      <c r="K102" s="26">
        <v>908.00320000000011</v>
      </c>
      <c r="L102" s="26">
        <v>44544</v>
      </c>
      <c r="M102" s="26">
        <v>9</v>
      </c>
      <c r="N102" s="26">
        <v>8</v>
      </c>
      <c r="O102" s="27">
        <v>17</v>
      </c>
      <c r="P102" s="19">
        <v>22</v>
      </c>
      <c r="Q102" s="19">
        <v>4</v>
      </c>
      <c r="R102" s="19" t="s">
        <v>1941</v>
      </c>
      <c r="S102" s="26">
        <v>20261.273200000011</v>
      </c>
      <c r="T102" s="28">
        <v>13</v>
      </c>
      <c r="U102" s="19" t="s">
        <v>1040</v>
      </c>
      <c r="V102" s="19" t="s">
        <v>431</v>
      </c>
      <c r="X102" t="b">
        <f>VLOOKUP(B102,'M10B Order'!B:F,5,FALSE)=W102</f>
        <v>1</v>
      </c>
    </row>
    <row r="103" spans="1:24" x14ac:dyDescent="0.2">
      <c r="A103" s="19">
        <v>554714737</v>
      </c>
      <c r="B103" s="19" t="s">
        <v>208</v>
      </c>
      <c r="C103" s="19" t="s">
        <v>207</v>
      </c>
      <c r="D103" s="19" t="s">
        <v>369</v>
      </c>
      <c r="E103" s="19" t="s">
        <v>1777</v>
      </c>
      <c r="F103" s="19">
        <v>508804192</v>
      </c>
      <c r="G103" s="19">
        <v>4</v>
      </c>
      <c r="H103" s="19">
        <v>24</v>
      </c>
      <c r="I103" s="19">
        <v>3886</v>
      </c>
      <c r="J103" s="25">
        <v>0.95290799999999998</v>
      </c>
      <c r="K103" s="26">
        <v>731.99804800000038</v>
      </c>
      <c r="L103" s="26">
        <v>65640</v>
      </c>
      <c r="M103" s="26">
        <v>9</v>
      </c>
      <c r="N103" s="26">
        <v>8</v>
      </c>
      <c r="O103" s="27">
        <v>17</v>
      </c>
      <c r="P103" s="19">
        <v>22</v>
      </c>
      <c r="Q103" s="19">
        <v>4</v>
      </c>
      <c r="R103" s="19" t="s">
        <v>1941</v>
      </c>
      <c r="S103" s="26">
        <v>17296.568048000001</v>
      </c>
      <c r="T103" s="28">
        <v>13</v>
      </c>
      <c r="U103" s="19" t="s">
        <v>262</v>
      </c>
      <c r="V103" s="19">
        <v>0</v>
      </c>
      <c r="X103" t="b">
        <f>VLOOKUP(B103,'M10B Order'!B:F,5,FALSE)=W103</f>
        <v>1</v>
      </c>
    </row>
    <row r="104" spans="1:24" x14ac:dyDescent="0.2">
      <c r="A104" s="19">
        <v>554737826</v>
      </c>
      <c r="B104" s="19" t="s">
        <v>194</v>
      </c>
      <c r="C104" s="19" t="s">
        <v>193</v>
      </c>
      <c r="D104" s="19" t="s">
        <v>369</v>
      </c>
      <c r="E104" s="19" t="s">
        <v>1777</v>
      </c>
      <c r="F104" s="19">
        <v>508804192</v>
      </c>
      <c r="G104" s="19">
        <v>4</v>
      </c>
      <c r="H104" s="19">
        <v>24</v>
      </c>
      <c r="I104" s="19">
        <v>3887</v>
      </c>
      <c r="J104" s="25">
        <v>0.96423999999999999</v>
      </c>
      <c r="K104" s="26">
        <v>555.99648000000025</v>
      </c>
      <c r="L104" s="26">
        <v>35880</v>
      </c>
      <c r="M104" s="26">
        <v>9</v>
      </c>
      <c r="N104" s="26">
        <v>8</v>
      </c>
      <c r="O104" s="27">
        <v>17</v>
      </c>
      <c r="P104" s="19">
        <v>22</v>
      </c>
      <c r="Q104" s="19">
        <v>4</v>
      </c>
      <c r="R104" s="19" t="s">
        <v>1941</v>
      </c>
      <c r="S104" s="26">
        <v>15302.506480000005</v>
      </c>
      <c r="T104" s="28">
        <v>13</v>
      </c>
      <c r="U104" s="19" t="s">
        <v>159</v>
      </c>
      <c r="V104" s="19">
        <v>0</v>
      </c>
      <c r="X104" t="b">
        <f>VLOOKUP(B104,'M10B Order'!B:F,5,FALSE)=W104</f>
        <v>1</v>
      </c>
    </row>
    <row r="105" spans="1:24" x14ac:dyDescent="0.2">
      <c r="A105" s="19">
        <v>554737906</v>
      </c>
      <c r="B105" s="19" t="s">
        <v>31</v>
      </c>
      <c r="C105" s="19" t="s">
        <v>30</v>
      </c>
      <c r="D105" s="19" t="s">
        <v>369</v>
      </c>
      <c r="E105" s="19" t="s">
        <v>1777</v>
      </c>
      <c r="F105" s="19">
        <v>508804192</v>
      </c>
      <c r="G105" s="19">
        <v>4</v>
      </c>
      <c r="H105" s="19">
        <v>24</v>
      </c>
      <c r="I105" s="19">
        <v>3887</v>
      </c>
      <c r="J105" s="25">
        <v>0.95086199999999999</v>
      </c>
      <c r="K105" s="26">
        <v>763.9976240000002</v>
      </c>
      <c r="L105" s="26">
        <v>36480</v>
      </c>
      <c r="M105" s="26">
        <v>9</v>
      </c>
      <c r="N105" s="26">
        <v>8</v>
      </c>
      <c r="O105" s="27">
        <v>17</v>
      </c>
      <c r="P105" s="19">
        <v>22</v>
      </c>
      <c r="Q105" s="19">
        <v>4</v>
      </c>
      <c r="R105" s="19" t="s">
        <v>1941</v>
      </c>
      <c r="S105" s="26">
        <v>12193.507623999982</v>
      </c>
      <c r="T105" s="28">
        <v>17</v>
      </c>
      <c r="U105" s="19" t="s">
        <v>89</v>
      </c>
      <c r="V105" s="19">
        <v>0</v>
      </c>
      <c r="X105" t="b">
        <f>VLOOKUP(B105,'M10B Order'!B:F,5,FALSE)=W105</f>
        <v>1</v>
      </c>
    </row>
    <row r="106" spans="1:24" x14ac:dyDescent="0.2">
      <c r="A106" s="19">
        <v>554738338</v>
      </c>
      <c r="B106" s="19" t="s">
        <v>67</v>
      </c>
      <c r="C106" s="19" t="s">
        <v>66</v>
      </c>
      <c r="D106" s="19" t="s">
        <v>369</v>
      </c>
      <c r="E106" s="19" t="s">
        <v>1777</v>
      </c>
      <c r="F106" s="19">
        <v>508804192</v>
      </c>
      <c r="G106" s="19">
        <v>4</v>
      </c>
      <c r="H106" s="19">
        <v>24</v>
      </c>
      <c r="I106" s="19">
        <v>3887</v>
      </c>
      <c r="J106" s="25">
        <v>0.978132</v>
      </c>
      <c r="K106" s="26">
        <v>340.00366399999996</v>
      </c>
      <c r="L106" s="26">
        <v>33960</v>
      </c>
      <c r="M106" s="26">
        <v>9</v>
      </c>
      <c r="N106" s="26">
        <v>8</v>
      </c>
      <c r="O106" s="27">
        <v>17</v>
      </c>
      <c r="P106" s="19">
        <v>22</v>
      </c>
      <c r="Q106" s="19">
        <v>4</v>
      </c>
      <c r="R106" s="19" t="s">
        <v>1941</v>
      </c>
      <c r="S106" s="26">
        <v>9030.8036640000009</v>
      </c>
      <c r="T106" s="28">
        <v>22</v>
      </c>
      <c r="U106" s="19" t="s">
        <v>121</v>
      </c>
      <c r="V106" s="19">
        <v>3520.6858879999982</v>
      </c>
      <c r="X106" t="b">
        <f>VLOOKUP(B106,'M10B Order'!B:F,5,FALSE)=W106</f>
        <v>1</v>
      </c>
    </row>
    <row r="107" spans="1:24" x14ac:dyDescent="0.2">
      <c r="A107" s="19">
        <v>554737850</v>
      </c>
      <c r="B107" s="19" t="s">
        <v>280</v>
      </c>
      <c r="C107" s="19" t="s">
        <v>279</v>
      </c>
      <c r="D107" s="19" t="s">
        <v>369</v>
      </c>
      <c r="E107" s="19" t="s">
        <v>1777</v>
      </c>
      <c r="F107" s="19">
        <v>508804192</v>
      </c>
      <c r="G107" s="19">
        <v>4</v>
      </c>
      <c r="H107" s="19">
        <v>24</v>
      </c>
      <c r="I107" s="19">
        <v>3887</v>
      </c>
      <c r="J107" s="25">
        <v>0.95755100000000004</v>
      </c>
      <c r="K107" s="26">
        <v>659.99705199999937</v>
      </c>
      <c r="L107" s="26">
        <v>39408</v>
      </c>
      <c r="M107" s="26">
        <v>9</v>
      </c>
      <c r="N107" s="26">
        <v>8</v>
      </c>
      <c r="O107" s="27">
        <v>17</v>
      </c>
      <c r="P107" s="19">
        <v>22</v>
      </c>
      <c r="Q107" s="19">
        <v>4</v>
      </c>
      <c r="R107" s="19" t="s">
        <v>1941</v>
      </c>
      <c r="S107" s="26">
        <v>7794.0099999999993</v>
      </c>
      <c r="T107" s="28">
        <v>22</v>
      </c>
      <c r="U107" s="19" t="s">
        <v>180</v>
      </c>
      <c r="V107" s="19">
        <v>0</v>
      </c>
      <c r="X107" t="b">
        <f>VLOOKUP(B107,'M10B Order'!B:F,5,FALSE)=W107</f>
        <v>1</v>
      </c>
    </row>
    <row r="108" spans="1:24" x14ac:dyDescent="0.2">
      <c r="A108" s="19">
        <v>554737707</v>
      </c>
      <c r="B108" s="19" t="s">
        <v>198</v>
      </c>
      <c r="C108" s="19" t="s">
        <v>197</v>
      </c>
      <c r="D108" s="19" t="s">
        <v>369</v>
      </c>
      <c r="E108" s="19" t="s">
        <v>1777</v>
      </c>
      <c r="F108" s="19">
        <v>508804192</v>
      </c>
      <c r="G108" s="19">
        <v>4</v>
      </c>
      <c r="H108" s="19">
        <v>24</v>
      </c>
      <c r="I108" s="19">
        <v>3887</v>
      </c>
      <c r="J108" s="25">
        <v>0.94005700000000003</v>
      </c>
      <c r="K108" s="26">
        <v>931.99376399999949</v>
      </c>
      <c r="L108" s="26">
        <v>61800</v>
      </c>
      <c r="M108" s="26">
        <v>9</v>
      </c>
      <c r="N108" s="26">
        <v>8</v>
      </c>
      <c r="O108" s="27">
        <v>17</v>
      </c>
      <c r="P108" s="19">
        <v>22</v>
      </c>
      <c r="Q108" s="19">
        <v>4</v>
      </c>
      <c r="R108" s="19" t="s">
        <v>1941</v>
      </c>
      <c r="S108" s="26">
        <v>7074.8437639999984</v>
      </c>
      <c r="T108" s="28">
        <v>22</v>
      </c>
      <c r="U108" s="19" t="s">
        <v>1040</v>
      </c>
      <c r="V108" s="19" t="s">
        <v>431</v>
      </c>
      <c r="X108" t="b">
        <f>VLOOKUP(B108,'M10B Order'!B:F,5,FALSE)=W108</f>
        <v>1</v>
      </c>
    </row>
    <row r="109" spans="1:24" x14ac:dyDescent="0.2">
      <c r="A109" s="19">
        <v>554738323</v>
      </c>
      <c r="B109" s="19" t="s">
        <v>65</v>
      </c>
      <c r="C109" s="19" t="s">
        <v>64</v>
      </c>
      <c r="D109" s="19" t="s">
        <v>369</v>
      </c>
      <c r="E109" s="19" t="s">
        <v>1777</v>
      </c>
      <c r="F109" s="19">
        <v>508804192</v>
      </c>
      <c r="G109" s="19">
        <v>4</v>
      </c>
      <c r="H109" s="19">
        <v>24</v>
      </c>
      <c r="I109" s="19">
        <v>3887</v>
      </c>
      <c r="J109" s="25">
        <v>0.97478799999999999</v>
      </c>
      <c r="K109" s="26">
        <v>391.99617600000016</v>
      </c>
      <c r="L109" s="26">
        <v>79824</v>
      </c>
      <c r="M109" s="26">
        <v>9</v>
      </c>
      <c r="N109" s="26">
        <v>8</v>
      </c>
      <c r="O109" s="27">
        <v>17</v>
      </c>
      <c r="P109" s="19">
        <v>22</v>
      </c>
      <c r="Q109" s="19">
        <v>4</v>
      </c>
      <c r="R109" s="19" t="s">
        <v>1941</v>
      </c>
      <c r="S109" s="26">
        <v>6356.8461759999918</v>
      </c>
      <c r="T109" s="28">
        <v>25</v>
      </c>
      <c r="U109" s="19" t="s">
        <v>1040</v>
      </c>
      <c r="V109" s="19" t="s">
        <v>431</v>
      </c>
      <c r="X109" t="b">
        <f>VLOOKUP(B109,'M10B Order'!B:F,5,FALSE)=W109</f>
        <v>1</v>
      </c>
    </row>
    <row r="110" spans="1:24" x14ac:dyDescent="0.2">
      <c r="A110" s="19">
        <v>554738321</v>
      </c>
      <c r="B110" s="19" t="s">
        <v>73</v>
      </c>
      <c r="C110" s="19" t="s">
        <v>72</v>
      </c>
      <c r="D110" s="19" t="s">
        <v>369</v>
      </c>
      <c r="E110" s="19" t="s">
        <v>1777</v>
      </c>
      <c r="F110" s="19">
        <v>508804192</v>
      </c>
      <c r="G110" s="19">
        <v>4</v>
      </c>
      <c r="H110" s="19">
        <v>24</v>
      </c>
      <c r="I110" s="19">
        <v>3887</v>
      </c>
      <c r="J110" s="25">
        <v>0.89837900000000004</v>
      </c>
      <c r="K110" s="26">
        <v>1580.0033079999994</v>
      </c>
      <c r="L110" s="26">
        <v>20376</v>
      </c>
      <c r="M110" s="26">
        <v>9</v>
      </c>
      <c r="N110" s="26">
        <v>8</v>
      </c>
      <c r="O110" s="27">
        <v>17</v>
      </c>
      <c r="P110" s="19">
        <v>22</v>
      </c>
      <c r="Q110" s="19">
        <v>4</v>
      </c>
      <c r="R110" s="19" t="s">
        <v>1941</v>
      </c>
      <c r="S110" s="26">
        <v>5562.9200000000028</v>
      </c>
      <c r="T110" s="28">
        <v>24</v>
      </c>
      <c r="U110" s="19" t="s">
        <v>1040</v>
      </c>
      <c r="V110" s="19" t="s">
        <v>431</v>
      </c>
      <c r="X110" t="b">
        <f>VLOOKUP(B110,'M10B Order'!B:F,5,FALSE)=W110</f>
        <v>1</v>
      </c>
    </row>
    <row r="111" spans="1:24" x14ac:dyDescent="0.2">
      <c r="A111" s="19">
        <v>554715479</v>
      </c>
      <c r="B111" s="19" t="s">
        <v>81</v>
      </c>
      <c r="C111" s="19" t="s">
        <v>80</v>
      </c>
      <c r="D111" s="19" t="s">
        <v>369</v>
      </c>
      <c r="E111" s="19" t="s">
        <v>1777</v>
      </c>
      <c r="F111" s="19">
        <v>508804192</v>
      </c>
      <c r="G111" s="19">
        <v>4</v>
      </c>
      <c r="H111" s="19">
        <v>24</v>
      </c>
      <c r="I111" s="19">
        <v>1275</v>
      </c>
      <c r="J111" s="25">
        <v>0.945882</v>
      </c>
      <c r="K111" s="26">
        <v>276.0018</v>
      </c>
      <c r="L111" s="26">
        <v>14736</v>
      </c>
      <c r="M111" s="26">
        <v>9</v>
      </c>
      <c r="N111" s="26">
        <v>8</v>
      </c>
      <c r="O111" s="27">
        <v>17</v>
      </c>
      <c r="P111" s="19">
        <v>22</v>
      </c>
      <c r="Q111" s="19">
        <v>4</v>
      </c>
      <c r="R111" s="19" t="s">
        <v>1941</v>
      </c>
      <c r="S111" s="26">
        <v>5284.4217999999983</v>
      </c>
      <c r="T111" s="28">
        <v>10</v>
      </c>
      <c r="U111" s="19" t="s">
        <v>274</v>
      </c>
      <c r="V111" s="19">
        <v>0</v>
      </c>
      <c r="X111" t="b">
        <f>VLOOKUP(B111,'M10B Order'!B:F,5,FALSE)=W111</f>
        <v>1</v>
      </c>
    </row>
    <row r="112" spans="1:24" x14ac:dyDescent="0.2">
      <c r="A112" s="19">
        <v>554715477</v>
      </c>
      <c r="B112" s="19" t="s">
        <v>202</v>
      </c>
      <c r="C112" s="19" t="s">
        <v>201</v>
      </c>
      <c r="D112" s="19" t="s">
        <v>369</v>
      </c>
      <c r="E112" s="19" t="s">
        <v>1777</v>
      </c>
      <c r="F112" s="19">
        <v>508804192</v>
      </c>
      <c r="G112" s="19">
        <v>4</v>
      </c>
      <c r="H112" s="19">
        <v>24</v>
      </c>
      <c r="I112" s="19">
        <v>3886</v>
      </c>
      <c r="J112" s="25">
        <v>0.95625300000000002</v>
      </c>
      <c r="K112" s="26">
        <v>680.00336799999968</v>
      </c>
      <c r="L112" s="26">
        <v>39816</v>
      </c>
      <c r="M112" s="26">
        <v>9</v>
      </c>
      <c r="N112" s="26">
        <v>8</v>
      </c>
      <c r="O112" s="27">
        <v>17</v>
      </c>
      <c r="P112" s="19">
        <v>22</v>
      </c>
      <c r="Q112" s="19">
        <v>4</v>
      </c>
      <c r="R112" s="19" t="s">
        <v>1941</v>
      </c>
      <c r="S112" s="26">
        <v>4323.3633679999957</v>
      </c>
      <c r="T112" s="28">
        <v>23</v>
      </c>
      <c r="U112" s="19" t="s">
        <v>270</v>
      </c>
      <c r="V112" s="19">
        <v>0</v>
      </c>
      <c r="X112" t="b">
        <f>VLOOKUP(B112,'M10B Order'!B:F,5,FALSE)=W112</f>
        <v>1</v>
      </c>
    </row>
    <row r="113" spans="1:24" x14ac:dyDescent="0.2">
      <c r="A113" s="19">
        <v>554738345</v>
      </c>
      <c r="B113" s="19" t="s">
        <v>239</v>
      </c>
      <c r="C113" s="19" t="s">
        <v>238</v>
      </c>
      <c r="D113" s="19" t="s">
        <v>369</v>
      </c>
      <c r="E113" s="19" t="s">
        <v>1777</v>
      </c>
      <c r="F113" s="19">
        <v>508804192</v>
      </c>
      <c r="G113" s="19">
        <v>4</v>
      </c>
      <c r="H113" s="19">
        <v>24</v>
      </c>
      <c r="I113" s="19">
        <v>1277</v>
      </c>
      <c r="J113" s="25">
        <v>0.95223199999999997</v>
      </c>
      <c r="K113" s="26">
        <v>243.99894400000017</v>
      </c>
      <c r="L113" s="26">
        <v>16200</v>
      </c>
      <c r="M113" s="26">
        <v>9</v>
      </c>
      <c r="N113" s="26">
        <v>8</v>
      </c>
      <c r="O113" s="27">
        <v>17</v>
      </c>
      <c r="P113" s="19">
        <v>22</v>
      </c>
      <c r="Q113" s="19">
        <v>4</v>
      </c>
      <c r="R113" s="19" t="s">
        <v>1941</v>
      </c>
      <c r="S113" s="26">
        <v>2555.0389439999999</v>
      </c>
      <c r="T113" s="28">
        <v>17</v>
      </c>
      <c r="U113" s="19" t="s">
        <v>1040</v>
      </c>
      <c r="V113" s="19" t="s">
        <v>431</v>
      </c>
      <c r="X113" t="b">
        <f>VLOOKUP(B113,'M10B Order'!B:F,5,FALSE)=W113</f>
        <v>1</v>
      </c>
    </row>
    <row r="114" spans="1:24" x14ac:dyDescent="0.2">
      <c r="A114" s="19">
        <v>554737809</v>
      </c>
      <c r="B114" s="19" t="s">
        <v>292</v>
      </c>
      <c r="C114" s="19" t="s">
        <v>291</v>
      </c>
      <c r="D114" s="19" t="s">
        <v>369</v>
      </c>
      <c r="E114" s="19" t="s">
        <v>1777</v>
      </c>
      <c r="F114" s="19">
        <v>508804192</v>
      </c>
      <c r="G114" s="19">
        <v>4</v>
      </c>
      <c r="H114" s="19">
        <v>24</v>
      </c>
      <c r="I114" s="19">
        <v>3887</v>
      </c>
      <c r="J114" s="25">
        <v>0.957036</v>
      </c>
      <c r="K114" s="26">
        <v>668.00427200000001</v>
      </c>
      <c r="L114" s="26">
        <v>25872</v>
      </c>
      <c r="M114" s="26">
        <v>9</v>
      </c>
      <c r="N114" s="26">
        <v>8</v>
      </c>
      <c r="O114" s="27">
        <v>17</v>
      </c>
      <c r="P114" s="19">
        <v>22</v>
      </c>
      <c r="Q114" s="19">
        <v>4</v>
      </c>
      <c r="R114" s="19" t="s">
        <v>1941</v>
      </c>
      <c r="S114" s="26">
        <v>2390.4342719999959</v>
      </c>
      <c r="T114" s="28">
        <v>24</v>
      </c>
      <c r="U114" s="19" t="s">
        <v>151</v>
      </c>
      <c r="V114" s="19">
        <v>0</v>
      </c>
      <c r="X114" t="b">
        <f>VLOOKUP(B114,'M10B Order'!B:F,5,FALSE)=W114</f>
        <v>1</v>
      </c>
    </row>
    <row r="115" spans="1:24" x14ac:dyDescent="0.2">
      <c r="A115" s="19">
        <v>554738335</v>
      </c>
      <c r="B115" s="19" t="s">
        <v>165</v>
      </c>
      <c r="C115" s="19" t="s">
        <v>164</v>
      </c>
      <c r="D115" s="19" t="s">
        <v>369</v>
      </c>
      <c r="E115" s="19" t="s">
        <v>1777</v>
      </c>
      <c r="F115" s="19">
        <v>508804192</v>
      </c>
      <c r="G115" s="19">
        <v>4</v>
      </c>
      <c r="H115" s="19">
        <v>24</v>
      </c>
      <c r="I115" s="19">
        <v>1277</v>
      </c>
      <c r="J115" s="25">
        <v>0.95849600000000001</v>
      </c>
      <c r="K115" s="26">
        <v>212.00243199999991</v>
      </c>
      <c r="L115" s="26">
        <v>19512</v>
      </c>
      <c r="M115" s="26">
        <v>9</v>
      </c>
      <c r="N115" s="26">
        <v>8</v>
      </c>
      <c r="O115" s="27">
        <v>17</v>
      </c>
      <c r="P115" s="19">
        <v>22</v>
      </c>
      <c r="Q115" s="19">
        <v>4</v>
      </c>
      <c r="R115" s="19" t="s">
        <v>1941</v>
      </c>
      <c r="S115" s="26">
        <v>2303.7624320000004</v>
      </c>
      <c r="T115" s="28">
        <v>18</v>
      </c>
      <c r="U115" s="19" t="s">
        <v>91</v>
      </c>
      <c r="V115" s="19">
        <v>0</v>
      </c>
      <c r="X115" t="b">
        <f>VLOOKUP(B115,'M10B Order'!B:F,5,FALSE)=W115</f>
        <v>1</v>
      </c>
    </row>
    <row r="116" spans="1:24" x14ac:dyDescent="0.2">
      <c r="A116" s="19">
        <v>554737898</v>
      </c>
      <c r="B116" s="19" t="s">
        <v>27</v>
      </c>
      <c r="C116" s="19" t="s">
        <v>26</v>
      </c>
      <c r="D116" s="19" t="s">
        <v>369</v>
      </c>
      <c r="E116" s="19" t="s">
        <v>1777</v>
      </c>
      <c r="F116" s="19">
        <v>508804192</v>
      </c>
      <c r="G116" s="19">
        <v>4</v>
      </c>
      <c r="H116" s="19">
        <v>24</v>
      </c>
      <c r="I116" s="19">
        <v>3887</v>
      </c>
      <c r="J116" s="25">
        <v>0.96861299999999995</v>
      </c>
      <c r="K116" s="26">
        <v>488.00507600000083</v>
      </c>
      <c r="L116" s="26">
        <v>86904</v>
      </c>
      <c r="M116" s="26">
        <v>9</v>
      </c>
      <c r="N116" s="26">
        <v>8</v>
      </c>
      <c r="O116" s="27">
        <v>17</v>
      </c>
      <c r="P116" s="19">
        <v>22</v>
      </c>
      <c r="Q116" s="19">
        <v>4</v>
      </c>
      <c r="R116" s="19" t="s">
        <v>1941</v>
      </c>
      <c r="S116" s="26">
        <v>2003.9950760000083</v>
      </c>
      <c r="T116" s="28">
        <v>26</v>
      </c>
      <c r="U116" s="19" t="s">
        <v>9</v>
      </c>
      <c r="V116" s="19">
        <v>0</v>
      </c>
      <c r="X116" t="b">
        <f>VLOOKUP(B116,'M10B Order'!B:F,5,FALSE)=W116</f>
        <v>1</v>
      </c>
    </row>
    <row r="117" spans="1:24" x14ac:dyDescent="0.2">
      <c r="A117" s="19">
        <v>554737884</v>
      </c>
      <c r="B117" s="19" t="s">
        <v>182</v>
      </c>
      <c r="C117" s="19" t="s">
        <v>181</v>
      </c>
      <c r="D117" s="19" t="s">
        <v>369</v>
      </c>
      <c r="E117" s="19" t="s">
        <v>1777</v>
      </c>
      <c r="F117" s="19">
        <v>508804192</v>
      </c>
      <c r="G117" s="19">
        <v>4</v>
      </c>
      <c r="H117" s="19">
        <v>24</v>
      </c>
      <c r="I117" s="19">
        <v>1275</v>
      </c>
      <c r="J117" s="25">
        <v>0.96862700000000002</v>
      </c>
      <c r="K117" s="26">
        <v>160.00229999999991</v>
      </c>
      <c r="L117" s="26">
        <v>3552</v>
      </c>
      <c r="M117" s="26">
        <v>9</v>
      </c>
      <c r="N117" s="26">
        <v>8</v>
      </c>
      <c r="O117" s="27">
        <v>17</v>
      </c>
      <c r="P117" s="19">
        <v>22</v>
      </c>
      <c r="Q117" s="19">
        <v>4</v>
      </c>
      <c r="R117" s="19" t="s">
        <v>1941</v>
      </c>
      <c r="S117" s="26">
        <v>1755.7822999999962</v>
      </c>
      <c r="T117" s="28">
        <v>23</v>
      </c>
      <c r="U117" s="19" t="s">
        <v>105</v>
      </c>
      <c r="V117" s="19">
        <v>0</v>
      </c>
      <c r="X117" t="b">
        <f>VLOOKUP(B117,'M10B Order'!B:F,5,FALSE)=W117</f>
        <v>1</v>
      </c>
    </row>
    <row r="118" spans="1:24" x14ac:dyDescent="0.2">
      <c r="A118" s="19">
        <v>554737890</v>
      </c>
      <c r="B118" s="19" t="s">
        <v>218</v>
      </c>
      <c r="C118" s="19" t="s">
        <v>217</v>
      </c>
      <c r="D118" s="19" t="s">
        <v>369</v>
      </c>
      <c r="E118" s="19" t="s">
        <v>1777</v>
      </c>
      <c r="F118" s="19">
        <v>508804192</v>
      </c>
      <c r="G118" s="19">
        <v>4</v>
      </c>
      <c r="H118" s="19">
        <v>24</v>
      </c>
      <c r="I118" s="19">
        <v>1277</v>
      </c>
      <c r="J118" s="25">
        <v>0.93578700000000004</v>
      </c>
      <c r="K118" s="26">
        <v>328.00000399999982</v>
      </c>
      <c r="L118" s="26">
        <v>8640</v>
      </c>
      <c r="M118" s="26">
        <v>9</v>
      </c>
      <c r="N118" s="26">
        <v>8</v>
      </c>
      <c r="O118" s="27">
        <v>17</v>
      </c>
      <c r="P118" s="19">
        <v>22</v>
      </c>
      <c r="Q118" s="19">
        <v>4</v>
      </c>
      <c r="R118" s="19" t="s">
        <v>1941</v>
      </c>
      <c r="S118" s="26">
        <v>1121.0700040000015</v>
      </c>
      <c r="T118" s="28">
        <v>24</v>
      </c>
      <c r="U118" s="19" t="s">
        <v>129</v>
      </c>
      <c r="V118" s="19">
        <v>0</v>
      </c>
      <c r="X118" t="b">
        <f>VLOOKUP(B118,'M10B Order'!B:F,5,FALSE)=W118</f>
        <v>1</v>
      </c>
    </row>
    <row r="119" spans="1:24" x14ac:dyDescent="0.2">
      <c r="A119" s="19">
        <v>554737764</v>
      </c>
      <c r="B119" s="19" t="s">
        <v>296</v>
      </c>
      <c r="C119" s="19" t="s">
        <v>295</v>
      </c>
      <c r="D119" s="19" t="s">
        <v>369</v>
      </c>
      <c r="E119" s="19" t="s">
        <v>1777</v>
      </c>
      <c r="F119" s="19">
        <v>508804192</v>
      </c>
      <c r="G119" s="19">
        <v>4</v>
      </c>
      <c r="H119" s="19">
        <v>24</v>
      </c>
      <c r="I119" s="19">
        <v>1247</v>
      </c>
      <c r="J119" s="25">
        <v>0.95028100000000004</v>
      </c>
      <c r="K119" s="26">
        <v>247.99837199999979</v>
      </c>
      <c r="L119" s="26">
        <v>20184</v>
      </c>
      <c r="M119" s="26">
        <v>9</v>
      </c>
      <c r="N119" s="26">
        <v>8</v>
      </c>
      <c r="O119" s="27">
        <v>17</v>
      </c>
      <c r="P119" s="19">
        <v>22</v>
      </c>
      <c r="Q119" s="19">
        <v>4</v>
      </c>
      <c r="R119" s="19" t="s">
        <v>1941</v>
      </c>
      <c r="S119" s="26">
        <v>641.2783720000009</v>
      </c>
      <c r="T119" s="28">
        <v>24</v>
      </c>
      <c r="U119" s="19" t="s">
        <v>149</v>
      </c>
      <c r="V119" s="19">
        <v>0</v>
      </c>
      <c r="X119" t="b">
        <f>VLOOKUP(B119,'M10B Order'!B:F,5,FALSE)=W119</f>
        <v>1</v>
      </c>
    </row>
    <row r="120" spans="1:24" x14ac:dyDescent="0.2">
      <c r="A120" s="19">
        <v>573626638</v>
      </c>
      <c r="B120" s="19" t="s">
        <v>782</v>
      </c>
      <c r="C120" s="29" t="s">
        <v>783</v>
      </c>
      <c r="D120" s="19" t="s">
        <v>369</v>
      </c>
      <c r="E120" s="19" t="s">
        <v>1777</v>
      </c>
      <c r="F120" s="19">
        <v>508804192</v>
      </c>
      <c r="G120" s="19">
        <v>4</v>
      </c>
      <c r="H120" s="19">
        <v>24</v>
      </c>
      <c r="I120" s="19">
        <v>3873</v>
      </c>
      <c r="J120" s="25">
        <v>0.96282000000000001</v>
      </c>
      <c r="K120" s="26">
        <v>575.99255999999991</v>
      </c>
      <c r="L120" s="26">
        <v>67392</v>
      </c>
      <c r="M120" s="26">
        <v>9</v>
      </c>
      <c r="N120" s="26">
        <v>8</v>
      </c>
      <c r="O120" s="27">
        <v>17</v>
      </c>
      <c r="P120" s="19">
        <v>22</v>
      </c>
      <c r="Q120" s="19">
        <v>4</v>
      </c>
      <c r="R120" s="19" t="s">
        <v>1941</v>
      </c>
      <c r="S120" s="26">
        <v>612.10255999999208</v>
      </c>
      <c r="T120" s="28">
        <v>26</v>
      </c>
      <c r="U120" s="19" t="s">
        <v>324</v>
      </c>
      <c r="V120" s="19">
        <v>0</v>
      </c>
      <c r="X120" t="b">
        <f>VLOOKUP(B120,'M10B Order'!B:F,5,FALSE)=W120</f>
        <v>1</v>
      </c>
    </row>
    <row r="121" spans="1:24" x14ac:dyDescent="0.2">
      <c r="A121" s="19">
        <v>555032802</v>
      </c>
      <c r="B121" s="19" t="s">
        <v>413</v>
      </c>
      <c r="C121" s="19" t="s">
        <v>414</v>
      </c>
      <c r="D121" s="19" t="s">
        <v>410</v>
      </c>
      <c r="E121" s="19" t="s">
        <v>1778</v>
      </c>
      <c r="F121" s="19">
        <v>508804191</v>
      </c>
      <c r="G121" s="19">
        <v>8</v>
      </c>
      <c r="H121" s="19">
        <v>8</v>
      </c>
      <c r="I121" s="19">
        <v>3406</v>
      </c>
      <c r="J121" s="25">
        <v>0.91221399999999997</v>
      </c>
      <c r="K121" s="26">
        <v>2391.992928000001</v>
      </c>
      <c r="L121" s="26">
        <v>1608</v>
      </c>
      <c r="M121" s="26">
        <v>9</v>
      </c>
      <c r="N121" s="26">
        <v>6</v>
      </c>
      <c r="O121" s="27">
        <v>15</v>
      </c>
      <c r="P121" s="19">
        <v>12</v>
      </c>
      <c r="Q121" s="19">
        <v>1</v>
      </c>
      <c r="R121" s="19" t="s">
        <v>1939</v>
      </c>
      <c r="S121" s="26">
        <v>1591.542928000001</v>
      </c>
      <c r="T121" s="28">
        <v>9</v>
      </c>
      <c r="U121" s="19" t="s">
        <v>525</v>
      </c>
      <c r="V121" s="19">
        <v>0</v>
      </c>
      <c r="X121" t="b">
        <f>VLOOKUP(B121,'M10B Order'!B:F,5,FALSE)=W121</f>
        <v>1</v>
      </c>
    </row>
    <row r="122" spans="1:24" x14ac:dyDescent="0.2">
      <c r="A122" s="19">
        <v>555032861</v>
      </c>
      <c r="B122" s="19" t="s">
        <v>419</v>
      </c>
      <c r="C122" s="19" t="s">
        <v>420</v>
      </c>
      <c r="D122" s="19" t="s">
        <v>410</v>
      </c>
      <c r="E122" s="19" t="s">
        <v>1778</v>
      </c>
      <c r="F122" s="19">
        <v>508804191</v>
      </c>
      <c r="G122" s="19">
        <v>8</v>
      </c>
      <c r="H122" s="19">
        <v>8</v>
      </c>
      <c r="I122" s="19">
        <v>3421</v>
      </c>
      <c r="J122" s="25">
        <v>0.92750699999999997</v>
      </c>
      <c r="K122" s="26">
        <v>1983.9884240000008</v>
      </c>
      <c r="L122" s="26">
        <v>2480</v>
      </c>
      <c r="M122" s="26">
        <v>9</v>
      </c>
      <c r="N122" s="26">
        <v>6</v>
      </c>
      <c r="O122" s="27">
        <v>15</v>
      </c>
      <c r="P122" s="19">
        <v>12</v>
      </c>
      <c r="Q122" s="19">
        <v>1</v>
      </c>
      <c r="R122" s="19" t="s">
        <v>1939</v>
      </c>
      <c r="S122" s="26">
        <v>918.61999999999887</v>
      </c>
      <c r="T122" s="28">
        <v>11</v>
      </c>
      <c r="U122" s="19" t="s">
        <v>527</v>
      </c>
      <c r="V122" s="19">
        <v>0</v>
      </c>
      <c r="X122" t="b">
        <f>VLOOKUP(B122,'M10B Order'!B:F,5,FALSE)=W122</f>
        <v>1</v>
      </c>
    </row>
    <row r="123" spans="1:24" x14ac:dyDescent="0.2">
      <c r="A123" s="19">
        <v>555032768</v>
      </c>
      <c r="B123" s="19" t="s">
        <v>415</v>
      </c>
      <c r="C123" s="19" t="s">
        <v>416</v>
      </c>
      <c r="D123" s="19" t="s">
        <v>410</v>
      </c>
      <c r="E123" s="19" t="s">
        <v>1778</v>
      </c>
      <c r="F123" s="19">
        <v>508804191</v>
      </c>
      <c r="G123" s="19">
        <v>8</v>
      </c>
      <c r="H123" s="19">
        <v>8</v>
      </c>
      <c r="I123" s="19">
        <v>1046</v>
      </c>
      <c r="J123" s="25">
        <v>0.95124299999999995</v>
      </c>
      <c r="K123" s="26">
        <v>407.99857600000041</v>
      </c>
      <c r="L123" s="26">
        <v>0</v>
      </c>
      <c r="M123" s="26">
        <v>9</v>
      </c>
      <c r="N123" s="26">
        <v>6</v>
      </c>
      <c r="O123" s="27">
        <v>15</v>
      </c>
      <c r="P123" s="19">
        <v>12</v>
      </c>
      <c r="Q123" s="19">
        <v>1</v>
      </c>
      <c r="R123" s="19" t="s">
        <v>1939</v>
      </c>
      <c r="S123" s="26">
        <v>505.77857600000038</v>
      </c>
      <c r="T123" s="28">
        <v>11</v>
      </c>
      <c r="U123" s="19" t="s">
        <v>533</v>
      </c>
      <c r="V123" s="19" t="s">
        <v>431</v>
      </c>
      <c r="X123" t="b">
        <f>VLOOKUP(B123,'M10B Order'!B:F,5,FALSE)=W123</f>
        <v>1</v>
      </c>
    </row>
    <row r="124" spans="1:24" x14ac:dyDescent="0.2">
      <c r="A124" s="19">
        <v>579058032</v>
      </c>
      <c r="B124" s="19" t="s">
        <v>1219</v>
      </c>
      <c r="C124" s="19" t="s">
        <v>1220</v>
      </c>
      <c r="D124" s="19" t="s">
        <v>405</v>
      </c>
      <c r="E124" s="19" t="s">
        <v>1778</v>
      </c>
      <c r="F124" s="19">
        <v>508804191</v>
      </c>
      <c r="G124" s="19">
        <v>8</v>
      </c>
      <c r="H124" s="19">
        <v>8</v>
      </c>
      <c r="I124" s="19">
        <v>2177</v>
      </c>
      <c r="J124" s="25">
        <v>0.97197999999999996</v>
      </c>
      <c r="K124" s="26">
        <v>487.99632000000076</v>
      </c>
      <c r="L124" s="26">
        <v>1080</v>
      </c>
      <c r="M124" s="26">
        <v>11</v>
      </c>
      <c r="N124" s="26">
        <v>8</v>
      </c>
      <c r="O124" s="27">
        <v>19</v>
      </c>
      <c r="P124" s="19">
        <v>12</v>
      </c>
      <c r="Q124" s="19">
        <v>1</v>
      </c>
      <c r="R124" s="19" t="s">
        <v>1945</v>
      </c>
      <c r="S124" s="26">
        <v>1152.1063200000006</v>
      </c>
      <c r="T124" s="28">
        <v>7</v>
      </c>
      <c r="U124" s="19">
        <v>0</v>
      </c>
      <c r="V124" s="19" t="s">
        <v>431</v>
      </c>
      <c r="X124" t="b">
        <f>VLOOKUP(B124,'M10B Order'!B:F,5,FALSE)=W124</f>
        <v>1</v>
      </c>
    </row>
    <row r="125" spans="1:24" x14ac:dyDescent="0.2">
      <c r="A125" s="19">
        <v>555048241</v>
      </c>
      <c r="B125" s="19" t="s">
        <v>408</v>
      </c>
      <c r="C125" s="19" t="s">
        <v>409</v>
      </c>
      <c r="D125" s="19" t="s">
        <v>405</v>
      </c>
      <c r="E125" s="19" t="s">
        <v>1778</v>
      </c>
      <c r="F125" s="19">
        <v>508804191</v>
      </c>
      <c r="G125" s="19">
        <v>8</v>
      </c>
      <c r="H125" s="19">
        <v>8</v>
      </c>
      <c r="I125" s="19">
        <v>2176</v>
      </c>
      <c r="J125" s="25">
        <v>0.89797800000000005</v>
      </c>
      <c r="K125" s="26">
        <v>1775.9989759999989</v>
      </c>
      <c r="L125" s="26">
        <v>432</v>
      </c>
      <c r="M125" s="26">
        <v>11</v>
      </c>
      <c r="N125" s="26">
        <v>6</v>
      </c>
      <c r="O125" s="27">
        <v>17</v>
      </c>
      <c r="P125" s="19">
        <v>12</v>
      </c>
      <c r="Q125" s="19">
        <v>1</v>
      </c>
      <c r="R125" s="19" t="s">
        <v>1941</v>
      </c>
      <c r="S125" s="26">
        <v>636.55999999999983</v>
      </c>
      <c r="T125" s="28">
        <v>10</v>
      </c>
      <c r="U125" s="19" t="s">
        <v>431</v>
      </c>
      <c r="V125" s="19" t="s">
        <v>431</v>
      </c>
      <c r="X125" t="b">
        <f>VLOOKUP(B125,'M10B Order'!B:F,5,FALSE)=W125</f>
        <v>1</v>
      </c>
    </row>
    <row r="126" spans="1:24" x14ac:dyDescent="0.2">
      <c r="A126" s="19">
        <v>579058063</v>
      </c>
      <c r="B126" s="19" t="s">
        <v>1233</v>
      </c>
      <c r="C126" s="19" t="s">
        <v>1234</v>
      </c>
      <c r="D126" s="19" t="s">
        <v>405</v>
      </c>
      <c r="E126" s="19" t="s">
        <v>1778</v>
      </c>
      <c r="F126" s="19">
        <v>508804191</v>
      </c>
      <c r="G126" s="19">
        <v>8</v>
      </c>
      <c r="H126" s="19">
        <v>8</v>
      </c>
      <c r="I126" s="19">
        <v>1030</v>
      </c>
      <c r="J126" s="25">
        <v>0.96990299999999996</v>
      </c>
      <c r="K126" s="26">
        <v>247.99928000000034</v>
      </c>
      <c r="L126" s="26">
        <v>1024</v>
      </c>
      <c r="M126" s="26">
        <v>11</v>
      </c>
      <c r="N126" s="26">
        <v>8</v>
      </c>
      <c r="O126" s="27">
        <v>19</v>
      </c>
      <c r="P126" s="19">
        <v>12</v>
      </c>
      <c r="Q126" s="19">
        <v>1</v>
      </c>
      <c r="R126" s="19" t="s">
        <v>1945</v>
      </c>
      <c r="S126" s="26">
        <v>485.70928000000026</v>
      </c>
      <c r="T126" s="28">
        <v>8</v>
      </c>
      <c r="U126" s="19">
        <v>0</v>
      </c>
      <c r="V126" s="19" t="s">
        <v>431</v>
      </c>
      <c r="X126" t="b">
        <f>VLOOKUP(B126,'M10B Order'!B:F,5,FALSE)=W126</f>
        <v>1</v>
      </c>
    </row>
    <row r="127" spans="1:24" x14ac:dyDescent="0.2">
      <c r="A127" s="19">
        <v>579058043</v>
      </c>
      <c r="B127" s="19" t="s">
        <v>1227</v>
      </c>
      <c r="C127" s="19" t="s">
        <v>1228</v>
      </c>
      <c r="D127" s="19" t="s">
        <v>405</v>
      </c>
      <c r="E127" s="19" t="s">
        <v>1778</v>
      </c>
      <c r="F127" s="19">
        <v>508804191</v>
      </c>
      <c r="G127" s="19">
        <v>8</v>
      </c>
      <c r="H127" s="19">
        <v>8</v>
      </c>
      <c r="I127" s="19">
        <v>198</v>
      </c>
      <c r="J127" s="25">
        <v>0.94444399999999995</v>
      </c>
      <c r="K127" s="26">
        <v>88.000704000000084</v>
      </c>
      <c r="L127" s="26">
        <v>1120</v>
      </c>
      <c r="M127" s="26">
        <v>11</v>
      </c>
      <c r="N127" s="26">
        <v>8</v>
      </c>
      <c r="O127" s="27">
        <v>19</v>
      </c>
      <c r="P127" s="19">
        <v>12</v>
      </c>
      <c r="Q127" s="19">
        <v>1</v>
      </c>
      <c r="R127" s="19" t="s">
        <v>1945</v>
      </c>
      <c r="S127" s="26">
        <v>426.76070400000009</v>
      </c>
      <c r="T127" s="28">
        <v>4</v>
      </c>
      <c r="U127" s="19">
        <v>0</v>
      </c>
      <c r="V127" s="19" t="s">
        <v>431</v>
      </c>
      <c r="X127" t="b">
        <f>VLOOKUP(B127,'M10B Order'!B:F,5,FALSE)=W127</f>
        <v>1</v>
      </c>
    </row>
    <row r="128" spans="1:24" x14ac:dyDescent="0.2">
      <c r="A128" s="19">
        <v>579057993</v>
      </c>
      <c r="B128" s="19" t="s">
        <v>1221</v>
      </c>
      <c r="C128" s="19" t="s">
        <v>1222</v>
      </c>
      <c r="D128" s="19" t="s">
        <v>405</v>
      </c>
      <c r="E128" s="19" t="s">
        <v>1778</v>
      </c>
      <c r="F128" s="19">
        <v>508804191</v>
      </c>
      <c r="G128" s="19">
        <v>8</v>
      </c>
      <c r="H128" s="19">
        <v>8</v>
      </c>
      <c r="I128" s="19">
        <v>1233</v>
      </c>
      <c r="J128" s="25">
        <v>0.98377899999999996</v>
      </c>
      <c r="K128" s="26">
        <v>160.00394400000042</v>
      </c>
      <c r="L128" s="26">
        <v>536</v>
      </c>
      <c r="M128" s="26">
        <v>11</v>
      </c>
      <c r="N128" s="26">
        <v>8</v>
      </c>
      <c r="O128" s="27">
        <v>19</v>
      </c>
      <c r="P128" s="19">
        <v>12</v>
      </c>
      <c r="Q128" s="19">
        <v>1</v>
      </c>
      <c r="R128" s="19" t="s">
        <v>1945</v>
      </c>
      <c r="S128" s="26">
        <v>224.17394400000009</v>
      </c>
      <c r="T128" s="28">
        <v>11</v>
      </c>
      <c r="U128" s="19">
        <v>0</v>
      </c>
      <c r="V128" s="19" t="s">
        <v>431</v>
      </c>
      <c r="X128" t="b">
        <f>VLOOKUP(B128,'M10B Order'!B:F,5,FALSE)=W128</f>
        <v>1</v>
      </c>
    </row>
    <row r="129" spans="1:24" x14ac:dyDescent="0.2">
      <c r="A129" s="19">
        <v>555032871</v>
      </c>
      <c r="B129" s="19" t="s">
        <v>406</v>
      </c>
      <c r="C129" s="19" t="s">
        <v>407</v>
      </c>
      <c r="D129" s="19" t="s">
        <v>405</v>
      </c>
      <c r="E129" s="19" t="s">
        <v>1778</v>
      </c>
      <c r="F129" s="19">
        <v>508804191</v>
      </c>
      <c r="G129" s="19">
        <v>8</v>
      </c>
      <c r="H129" s="19">
        <v>8</v>
      </c>
      <c r="I129" s="19">
        <v>2190</v>
      </c>
      <c r="J129" s="25">
        <v>0.88493200000000005</v>
      </c>
      <c r="K129" s="26">
        <v>2015.9913599999991</v>
      </c>
      <c r="L129" s="26">
        <v>504</v>
      </c>
      <c r="M129" s="26">
        <v>11</v>
      </c>
      <c r="N129" s="26">
        <v>6</v>
      </c>
      <c r="O129" s="27">
        <v>17</v>
      </c>
      <c r="P129" s="19">
        <v>12</v>
      </c>
      <c r="Q129" s="19">
        <v>1</v>
      </c>
      <c r="R129" s="19" t="s">
        <v>1941</v>
      </c>
      <c r="S129" s="26">
        <v>126.09000000000049</v>
      </c>
      <c r="T129" s="28">
        <v>13</v>
      </c>
      <c r="U129" s="19" t="s">
        <v>431</v>
      </c>
      <c r="V129" s="19" t="s">
        <v>431</v>
      </c>
      <c r="X129" t="b">
        <f>VLOOKUP(B129,'M10B Order'!B:F,5,FALSE)=W129</f>
        <v>1</v>
      </c>
    </row>
    <row r="130" spans="1:24" x14ac:dyDescent="0.2">
      <c r="A130" s="19">
        <v>581933052</v>
      </c>
      <c r="B130" s="19" t="s">
        <v>644</v>
      </c>
      <c r="C130" s="19" t="s">
        <v>1720</v>
      </c>
      <c r="D130" s="19" t="s">
        <v>1719</v>
      </c>
      <c r="E130" s="19" t="s">
        <v>1778</v>
      </c>
      <c r="F130" s="19">
        <v>508804198</v>
      </c>
      <c r="G130" s="19">
        <v>3</v>
      </c>
      <c r="H130" s="19">
        <v>3</v>
      </c>
      <c r="I130" s="19">
        <v>265</v>
      </c>
      <c r="J130" s="25">
        <v>0.97735799999999995</v>
      </c>
      <c r="K130" s="26">
        <v>18.000390000000042</v>
      </c>
      <c r="L130" s="26">
        <v>1428</v>
      </c>
      <c r="M130" s="26">
        <v>9</v>
      </c>
      <c r="N130" s="26">
        <v>8</v>
      </c>
      <c r="O130" s="27">
        <v>17</v>
      </c>
      <c r="P130" s="19">
        <v>22</v>
      </c>
      <c r="Q130" s="19">
        <v>1</v>
      </c>
      <c r="R130" s="19" t="s">
        <v>1941</v>
      </c>
      <c r="S130" s="26">
        <v>456.60039000000006</v>
      </c>
      <c r="T130" s="28">
        <v>12</v>
      </c>
      <c r="U130" s="19" t="s">
        <v>1721</v>
      </c>
      <c r="V130" s="19">
        <v>5440.8029920000026</v>
      </c>
      <c r="X130" t="b">
        <f>VLOOKUP(B130,'M10B Order'!B:F,5,FALSE)=W130</f>
        <v>1</v>
      </c>
    </row>
    <row r="131" spans="1:24" x14ac:dyDescent="0.2">
      <c r="A131" s="19">
        <v>582083552</v>
      </c>
      <c r="B131" s="19" t="s">
        <v>1721</v>
      </c>
      <c r="C131" s="19" t="s">
        <v>1743</v>
      </c>
      <c r="D131" s="19" t="s">
        <v>1742</v>
      </c>
      <c r="E131" s="19" t="s">
        <v>1778</v>
      </c>
      <c r="F131" s="19">
        <v>508804198</v>
      </c>
      <c r="G131" s="19">
        <v>8</v>
      </c>
      <c r="H131" s="19">
        <v>8</v>
      </c>
      <c r="I131" s="19">
        <v>2782</v>
      </c>
      <c r="J131" s="25">
        <v>0.90941799999999995</v>
      </c>
      <c r="K131" s="26">
        <v>2015.9929920000011</v>
      </c>
      <c r="L131" s="26">
        <v>320</v>
      </c>
      <c r="M131" s="26">
        <v>7</v>
      </c>
      <c r="N131" s="26">
        <v>8</v>
      </c>
      <c r="O131" s="27">
        <v>15</v>
      </c>
      <c r="P131" s="19">
        <v>22</v>
      </c>
      <c r="Q131" s="19">
        <v>1</v>
      </c>
      <c r="R131" s="19" t="s">
        <v>1939</v>
      </c>
      <c r="S131" s="26">
        <v>5440.8029920000026</v>
      </c>
      <c r="T131" s="28">
        <v>15</v>
      </c>
      <c r="U131" s="19" t="s">
        <v>644</v>
      </c>
      <c r="V131" s="19">
        <v>456.60039000000006</v>
      </c>
      <c r="X131" t="b">
        <f>VLOOKUP(B131,'M10B Order'!B:F,5,FALSE)=W131</f>
        <v>1</v>
      </c>
    </row>
    <row r="132" spans="1:24" x14ac:dyDescent="0.2">
      <c r="A132" s="19">
        <v>582083551</v>
      </c>
      <c r="B132" s="19" t="s">
        <v>1723</v>
      </c>
      <c r="C132" s="19" t="s">
        <v>1744</v>
      </c>
      <c r="D132" s="19" t="s">
        <v>1742</v>
      </c>
      <c r="E132" s="19" t="s">
        <v>1778</v>
      </c>
      <c r="F132" s="19">
        <v>508804198</v>
      </c>
      <c r="G132" s="19">
        <v>8</v>
      </c>
      <c r="H132" s="19">
        <v>8</v>
      </c>
      <c r="I132" s="19">
        <v>720</v>
      </c>
      <c r="J132" s="25">
        <v>0.97222200000000003</v>
      </c>
      <c r="K132" s="26">
        <v>160.00127999999984</v>
      </c>
      <c r="L132" s="26">
        <v>944</v>
      </c>
      <c r="M132" s="26">
        <v>7</v>
      </c>
      <c r="N132" s="26">
        <v>8</v>
      </c>
      <c r="O132" s="27">
        <v>15</v>
      </c>
      <c r="P132" s="19">
        <v>22</v>
      </c>
      <c r="Q132" s="19">
        <v>1</v>
      </c>
      <c r="R132" s="19" t="s">
        <v>1939</v>
      </c>
      <c r="S132" s="26">
        <v>242.10999999999993</v>
      </c>
      <c r="T132" s="28">
        <v>21</v>
      </c>
      <c r="U132" s="19" t="s">
        <v>642</v>
      </c>
      <c r="V132" s="19">
        <v>0</v>
      </c>
      <c r="X132" t="b">
        <f>VLOOKUP(B132,'M10B Order'!B:F,5,FALSE)=W132</f>
        <v>1</v>
      </c>
    </row>
    <row r="133" spans="1:24" x14ac:dyDescent="0.2">
      <c r="A133" s="19">
        <v>581933046</v>
      </c>
      <c r="B133" s="19" t="s">
        <v>1728</v>
      </c>
      <c r="C133" s="19" t="s">
        <v>1729</v>
      </c>
      <c r="D133" s="19" t="s">
        <v>1718</v>
      </c>
      <c r="E133" s="19" t="s">
        <v>1778</v>
      </c>
      <c r="F133" s="19">
        <v>508804191</v>
      </c>
      <c r="G133" s="19">
        <v>8</v>
      </c>
      <c r="H133" s="19">
        <v>8</v>
      </c>
      <c r="I133" s="19">
        <v>1745</v>
      </c>
      <c r="J133" s="25">
        <v>0.97077400000000003</v>
      </c>
      <c r="K133" s="26">
        <v>407.99495999999965</v>
      </c>
      <c r="L133" s="26">
        <v>4416</v>
      </c>
      <c r="M133" s="26">
        <v>9</v>
      </c>
      <c r="N133" s="26">
        <v>8</v>
      </c>
      <c r="O133" s="27">
        <v>17</v>
      </c>
      <c r="P133" s="19">
        <v>22</v>
      </c>
      <c r="Q133" s="19">
        <v>1</v>
      </c>
      <c r="R133" s="19" t="s">
        <v>1941</v>
      </c>
      <c r="S133" s="26">
        <v>2487.7399999999998</v>
      </c>
      <c r="T133" s="28">
        <v>7</v>
      </c>
      <c r="U133" s="19">
        <v>0</v>
      </c>
      <c r="V133" s="19" t="s">
        <v>431</v>
      </c>
      <c r="X133" t="b">
        <f>VLOOKUP(B133,'M10B Order'!B:F,5,FALSE)=W133</f>
        <v>1</v>
      </c>
    </row>
    <row r="134" spans="1:24" x14ac:dyDescent="0.2">
      <c r="A134" s="19">
        <v>581933042</v>
      </c>
      <c r="B134" s="19" t="s">
        <v>1746</v>
      </c>
      <c r="C134" s="19" t="s">
        <v>1747</v>
      </c>
      <c r="D134" s="19" t="s">
        <v>1718</v>
      </c>
      <c r="E134" s="19" t="s">
        <v>1778</v>
      </c>
      <c r="F134" s="19">
        <v>508804191</v>
      </c>
      <c r="G134" s="19">
        <v>8</v>
      </c>
      <c r="H134" s="19">
        <v>8</v>
      </c>
      <c r="I134" s="19">
        <v>1744</v>
      </c>
      <c r="J134" s="25">
        <v>0.97190399999999999</v>
      </c>
      <c r="K134" s="26">
        <v>391.99539200000015</v>
      </c>
      <c r="L134" s="26">
        <v>3560</v>
      </c>
      <c r="M134" s="26">
        <v>9</v>
      </c>
      <c r="N134" s="26">
        <v>8</v>
      </c>
      <c r="O134" s="27">
        <v>17</v>
      </c>
      <c r="P134" s="19">
        <v>22</v>
      </c>
      <c r="Q134" s="19">
        <v>1</v>
      </c>
      <c r="R134" s="19" t="s">
        <v>1941</v>
      </c>
      <c r="S134" s="26">
        <v>1425.92</v>
      </c>
      <c r="T134" s="28">
        <v>14</v>
      </c>
      <c r="U134" s="19">
        <v>0</v>
      </c>
      <c r="V134" s="19" t="s">
        <v>431</v>
      </c>
      <c r="X134" t="b">
        <f>VLOOKUP(B134,'M10B Order'!B:F,5,FALSE)=W134</f>
        <v>1</v>
      </c>
    </row>
    <row r="135" spans="1:24" x14ac:dyDescent="0.2">
      <c r="A135" s="19">
        <v>581933037</v>
      </c>
      <c r="B135" s="19" t="s">
        <v>1738</v>
      </c>
      <c r="C135" s="19" t="s">
        <v>1739</v>
      </c>
      <c r="D135" s="19" t="s">
        <v>1718</v>
      </c>
      <c r="E135" s="19" t="s">
        <v>1778</v>
      </c>
      <c r="F135" s="19">
        <v>508804191</v>
      </c>
      <c r="G135" s="19">
        <v>8</v>
      </c>
      <c r="H135" s="19">
        <v>8</v>
      </c>
      <c r="I135" s="19">
        <v>720</v>
      </c>
      <c r="J135" s="25">
        <v>0.99027799999999999</v>
      </c>
      <c r="K135" s="26">
        <v>55.998720000000048</v>
      </c>
      <c r="L135" s="26">
        <v>3112</v>
      </c>
      <c r="M135" s="26">
        <v>9</v>
      </c>
      <c r="N135" s="26">
        <v>8</v>
      </c>
      <c r="O135" s="27">
        <v>17</v>
      </c>
      <c r="P135" s="19">
        <v>22</v>
      </c>
      <c r="Q135" s="19">
        <v>1</v>
      </c>
      <c r="R135" s="19" t="s">
        <v>1941</v>
      </c>
      <c r="S135" s="26">
        <v>953.77871999999991</v>
      </c>
      <c r="T135" s="28">
        <v>6</v>
      </c>
      <c r="U135" s="19">
        <v>0</v>
      </c>
      <c r="V135" s="19" t="s">
        <v>431</v>
      </c>
      <c r="X135" t="b">
        <f>VLOOKUP(B135,'M10B Order'!B:F,5,FALSE)=W135</f>
        <v>1</v>
      </c>
    </row>
    <row r="136" spans="1:24" x14ac:dyDescent="0.2">
      <c r="A136" s="19">
        <v>581933048</v>
      </c>
      <c r="B136" s="19" t="s">
        <v>1740</v>
      </c>
      <c r="C136" s="19" t="s">
        <v>1741</v>
      </c>
      <c r="D136" s="19" t="s">
        <v>1718</v>
      </c>
      <c r="E136" s="19" t="s">
        <v>1778</v>
      </c>
      <c r="F136" s="19">
        <v>508804191</v>
      </c>
      <c r="G136" s="19">
        <v>8</v>
      </c>
      <c r="H136" s="19">
        <v>8</v>
      </c>
      <c r="I136" s="19">
        <v>720</v>
      </c>
      <c r="J136" s="25">
        <v>0.98750000000000004</v>
      </c>
      <c r="K136" s="26">
        <v>71.999999999999744</v>
      </c>
      <c r="L136" s="26">
        <v>3336</v>
      </c>
      <c r="M136" s="26">
        <v>9</v>
      </c>
      <c r="N136" s="26">
        <v>8</v>
      </c>
      <c r="O136" s="27">
        <v>17</v>
      </c>
      <c r="P136" s="19">
        <v>22</v>
      </c>
      <c r="Q136" s="19">
        <v>1</v>
      </c>
      <c r="R136" s="19" t="s">
        <v>1941</v>
      </c>
      <c r="S136" s="26">
        <v>776.31999999999994</v>
      </c>
      <c r="T136" s="28">
        <v>10</v>
      </c>
      <c r="U136" s="19">
        <v>0</v>
      </c>
      <c r="V136" s="19" t="s">
        <v>431</v>
      </c>
      <c r="X136" t="b">
        <f>VLOOKUP(B136,'M10B Order'!B:F,5,FALSE)=W136</f>
        <v>1</v>
      </c>
    </row>
    <row r="137" spans="1:24" x14ac:dyDescent="0.2">
      <c r="A137" s="19">
        <v>581933045</v>
      </c>
      <c r="B137" s="19" t="s">
        <v>1730</v>
      </c>
      <c r="C137" s="19" t="s">
        <v>1731</v>
      </c>
      <c r="D137" s="19" t="s">
        <v>1718</v>
      </c>
      <c r="E137" s="19" t="s">
        <v>1778</v>
      </c>
      <c r="F137" s="19">
        <v>508804191</v>
      </c>
      <c r="G137" s="19">
        <v>8</v>
      </c>
      <c r="H137" s="19">
        <v>8</v>
      </c>
      <c r="I137" s="19">
        <v>719</v>
      </c>
      <c r="J137" s="25">
        <v>0.97079300000000002</v>
      </c>
      <c r="K137" s="26">
        <v>167.99866399999991</v>
      </c>
      <c r="L137" s="26">
        <v>4416</v>
      </c>
      <c r="M137" s="26">
        <v>9</v>
      </c>
      <c r="N137" s="26">
        <v>8</v>
      </c>
      <c r="O137" s="27">
        <v>17</v>
      </c>
      <c r="P137" s="19">
        <v>22</v>
      </c>
      <c r="Q137" s="19">
        <v>1</v>
      </c>
      <c r="R137" s="19" t="s">
        <v>1941</v>
      </c>
      <c r="S137" s="26">
        <v>520.78866400000038</v>
      </c>
      <c r="T137" s="28">
        <v>14</v>
      </c>
      <c r="U137" s="19">
        <v>0</v>
      </c>
      <c r="V137" s="19" t="s">
        <v>431</v>
      </c>
      <c r="X137" t="b">
        <f>VLOOKUP(B137,'M10B Order'!B:F,5,FALSE)=W137</f>
        <v>1</v>
      </c>
    </row>
    <row r="138" spans="1:24" x14ac:dyDescent="0.2">
      <c r="A138" s="19">
        <v>579058146</v>
      </c>
      <c r="B138" s="19" t="s">
        <v>1290</v>
      </c>
      <c r="C138" s="19" t="s">
        <v>1291</v>
      </c>
      <c r="D138" s="19" t="s">
        <v>1250</v>
      </c>
      <c r="E138" s="19" t="s">
        <v>1778</v>
      </c>
      <c r="F138" s="19">
        <v>508804198</v>
      </c>
      <c r="G138" s="19">
        <v>4</v>
      </c>
      <c r="H138" s="19">
        <v>4</v>
      </c>
      <c r="I138" s="19">
        <v>186</v>
      </c>
      <c r="J138" s="25">
        <v>1</v>
      </c>
      <c r="K138" s="26">
        <v>0</v>
      </c>
      <c r="L138" s="26">
        <v>276</v>
      </c>
      <c r="M138" s="26">
        <v>9</v>
      </c>
      <c r="N138" s="26">
        <v>8</v>
      </c>
      <c r="O138" s="27">
        <v>17</v>
      </c>
      <c r="P138" s="19">
        <v>12</v>
      </c>
      <c r="Q138" s="19">
        <v>1</v>
      </c>
      <c r="R138" s="19" t="s">
        <v>1941</v>
      </c>
      <c r="S138" s="26">
        <v>88.029999999999973</v>
      </c>
      <c r="T138" s="28">
        <v>7</v>
      </c>
      <c r="U138" s="19">
        <v>0</v>
      </c>
      <c r="V138" s="19" t="s">
        <v>431</v>
      </c>
      <c r="X138" t="b">
        <f>VLOOKUP(B138,'M10B Order'!B:F,5,FALSE)=W138</f>
        <v>1</v>
      </c>
    </row>
    <row r="139" spans="1:24" x14ac:dyDescent="0.2">
      <c r="A139" s="19">
        <v>579058185</v>
      </c>
      <c r="B139" s="19" t="s">
        <v>1329</v>
      </c>
      <c r="C139" s="19" t="s">
        <v>1330</v>
      </c>
      <c r="D139" s="19" t="s">
        <v>1316</v>
      </c>
      <c r="E139" s="19" t="s">
        <v>1777</v>
      </c>
      <c r="F139" s="19">
        <v>508804198</v>
      </c>
      <c r="G139" s="19">
        <v>4</v>
      </c>
      <c r="H139" s="19">
        <v>4</v>
      </c>
      <c r="I139" s="19">
        <v>186</v>
      </c>
      <c r="J139" s="25">
        <v>0.96236600000000005</v>
      </c>
      <c r="K139" s="26">
        <v>27.999695999999958</v>
      </c>
      <c r="L139" s="26">
        <v>920</v>
      </c>
      <c r="M139" s="26">
        <v>9</v>
      </c>
      <c r="N139" s="26">
        <v>8</v>
      </c>
      <c r="O139" s="27">
        <v>17</v>
      </c>
      <c r="P139" s="19">
        <v>22</v>
      </c>
      <c r="Q139" s="19">
        <v>4</v>
      </c>
      <c r="R139" s="19" t="s">
        <v>1941</v>
      </c>
      <c r="S139" s="26">
        <v>514.22999999999956</v>
      </c>
      <c r="T139" s="28">
        <v>22</v>
      </c>
      <c r="U139" s="19" t="s">
        <v>1327</v>
      </c>
      <c r="V139" s="19">
        <v>0</v>
      </c>
      <c r="X139" t="b">
        <f>VLOOKUP(B139,'M10B Order'!B:F,5,FALSE)=W139</f>
        <v>1</v>
      </c>
    </row>
    <row r="140" spans="1:24" x14ac:dyDescent="0.2">
      <c r="A140" s="19">
        <v>579058101</v>
      </c>
      <c r="B140" s="19" t="s">
        <v>1347</v>
      </c>
      <c r="C140" s="19" t="s">
        <v>1348</v>
      </c>
      <c r="D140" s="19" t="s">
        <v>1239</v>
      </c>
      <c r="E140" s="19" t="s">
        <v>1778</v>
      </c>
      <c r="F140" s="19">
        <v>508804198</v>
      </c>
      <c r="G140" s="19">
        <v>8</v>
      </c>
      <c r="H140" s="19">
        <v>8</v>
      </c>
      <c r="I140" s="19">
        <v>186</v>
      </c>
      <c r="J140" s="25">
        <v>0.98387100000000005</v>
      </c>
      <c r="K140" s="26">
        <v>23.999951999999922</v>
      </c>
      <c r="L140" s="26">
        <v>224</v>
      </c>
      <c r="M140" s="26">
        <v>7</v>
      </c>
      <c r="N140" s="26">
        <v>8</v>
      </c>
      <c r="O140" s="27">
        <v>15</v>
      </c>
      <c r="P140" s="19">
        <v>12</v>
      </c>
      <c r="Q140" s="19">
        <v>1</v>
      </c>
      <c r="R140" s="19" t="s">
        <v>1939</v>
      </c>
      <c r="S140" s="26">
        <v>134.44995199999994</v>
      </c>
      <c r="T140" s="28">
        <v>3</v>
      </c>
      <c r="U140" s="19">
        <v>0</v>
      </c>
      <c r="V140" s="19" t="s">
        <v>431</v>
      </c>
      <c r="X140" t="b">
        <f>VLOOKUP(B140,'M10B Order'!B:F,5,FALSE)=W140</f>
        <v>1</v>
      </c>
    </row>
    <row r="141" spans="1:24" x14ac:dyDescent="0.2">
      <c r="A141" s="19">
        <v>579058158</v>
      </c>
      <c r="B141" s="19" t="s">
        <v>1358</v>
      </c>
      <c r="C141" s="19" t="s">
        <v>1359</v>
      </c>
      <c r="D141" s="19" t="s">
        <v>1351</v>
      </c>
      <c r="E141" s="19" t="s">
        <v>1777</v>
      </c>
      <c r="F141" s="19">
        <v>508804198</v>
      </c>
      <c r="G141" s="19">
        <v>8</v>
      </c>
      <c r="H141" s="19">
        <v>8</v>
      </c>
      <c r="I141" s="19">
        <v>186</v>
      </c>
      <c r="J141" s="25">
        <v>0.98387100000000005</v>
      </c>
      <c r="K141" s="26">
        <v>23.999951999999922</v>
      </c>
      <c r="L141" s="26">
        <v>528</v>
      </c>
      <c r="M141" s="26">
        <v>7</v>
      </c>
      <c r="N141" s="26">
        <v>8</v>
      </c>
      <c r="O141" s="27">
        <v>15</v>
      </c>
      <c r="P141" s="19">
        <v>22</v>
      </c>
      <c r="Q141" s="19">
        <v>4</v>
      </c>
      <c r="R141" s="19" t="s">
        <v>1939</v>
      </c>
      <c r="S141" s="26">
        <v>53.699951999999932</v>
      </c>
      <c r="T141" s="28">
        <v>22</v>
      </c>
      <c r="U141" s="19" t="s">
        <v>1333</v>
      </c>
      <c r="V141" s="19">
        <v>0</v>
      </c>
      <c r="X141" t="b">
        <f>VLOOKUP(B141,'M10B Order'!B:F,5,FALSE)=W141</f>
        <v>1</v>
      </c>
    </row>
    <row r="142" spans="1:24" x14ac:dyDescent="0.2">
      <c r="A142" s="19">
        <v>574387552</v>
      </c>
      <c r="B142" s="19" t="s">
        <v>845</v>
      </c>
      <c r="C142" s="19" t="s">
        <v>846</v>
      </c>
      <c r="D142" s="19" t="s">
        <v>844</v>
      </c>
      <c r="E142" s="19" t="s">
        <v>1777</v>
      </c>
      <c r="F142" s="19">
        <v>508804191</v>
      </c>
      <c r="G142" s="19">
        <v>8</v>
      </c>
      <c r="H142" s="19">
        <v>8</v>
      </c>
      <c r="I142" s="19">
        <v>3403</v>
      </c>
      <c r="J142" s="25">
        <v>0.94387299999999996</v>
      </c>
      <c r="K142" s="26">
        <v>1528.0014480000011</v>
      </c>
      <c r="L142" s="26">
        <v>3456</v>
      </c>
      <c r="M142" s="26">
        <v>9</v>
      </c>
      <c r="N142" s="26">
        <v>6</v>
      </c>
      <c r="O142" s="27">
        <v>15</v>
      </c>
      <c r="P142" s="19">
        <v>22</v>
      </c>
      <c r="Q142" s="19">
        <v>4</v>
      </c>
      <c r="R142" s="19" t="s">
        <v>1939</v>
      </c>
      <c r="S142" s="26">
        <v>1508.7714480000006</v>
      </c>
      <c r="T142" s="28">
        <v>24</v>
      </c>
      <c r="U142" s="19">
        <v>0</v>
      </c>
      <c r="V142" s="19" t="s">
        <v>431</v>
      </c>
      <c r="X142" t="b">
        <f>VLOOKUP(B142,'M10B Order'!B:F,5,FALSE)=W142</f>
        <v>1</v>
      </c>
    </row>
    <row r="143" spans="1:24" x14ac:dyDescent="0.2">
      <c r="A143" s="19">
        <v>568940360</v>
      </c>
      <c r="B143" s="19" t="s">
        <v>1060</v>
      </c>
      <c r="C143" s="19" t="s">
        <v>1061</v>
      </c>
      <c r="D143" s="19" t="s">
        <v>370</v>
      </c>
      <c r="E143" s="19" t="s">
        <v>1778</v>
      </c>
      <c r="F143" s="19">
        <v>508804198</v>
      </c>
      <c r="G143" s="19">
        <v>8</v>
      </c>
      <c r="H143" s="19">
        <v>8</v>
      </c>
      <c r="I143" s="19">
        <v>2031</v>
      </c>
      <c r="J143" s="25">
        <v>0.97094999999999998</v>
      </c>
      <c r="K143" s="26">
        <v>472.00440000000032</v>
      </c>
      <c r="L143" s="26">
        <v>2920</v>
      </c>
      <c r="M143" s="26">
        <v>7</v>
      </c>
      <c r="N143" s="26">
        <v>8</v>
      </c>
      <c r="O143" s="27">
        <v>15</v>
      </c>
      <c r="P143" s="19">
        <v>12</v>
      </c>
      <c r="Q143" s="19">
        <v>1</v>
      </c>
      <c r="R143" s="19" t="s">
        <v>1939</v>
      </c>
      <c r="S143" s="26">
        <v>2507.2244000000005</v>
      </c>
      <c r="T143" s="28">
        <v>5</v>
      </c>
      <c r="U143" s="19">
        <v>0</v>
      </c>
      <c r="V143" s="19" t="s">
        <v>431</v>
      </c>
      <c r="X143" t="b">
        <f>VLOOKUP(B143,'M10B Order'!B:F,5,FALSE)=W143</f>
        <v>1</v>
      </c>
    </row>
    <row r="144" spans="1:24" x14ac:dyDescent="0.2">
      <c r="A144" s="19">
        <v>579057998</v>
      </c>
      <c r="B144" s="19" t="s">
        <v>1393</v>
      </c>
      <c r="C144" s="19" t="s">
        <v>1394</v>
      </c>
      <c r="D144" s="19" t="s">
        <v>370</v>
      </c>
      <c r="E144" s="19" t="s">
        <v>1778</v>
      </c>
      <c r="F144" s="19">
        <v>508804191</v>
      </c>
      <c r="G144" s="19">
        <v>8</v>
      </c>
      <c r="H144" s="19">
        <v>8</v>
      </c>
      <c r="I144" s="19">
        <v>3406</v>
      </c>
      <c r="J144" s="25">
        <v>0.94979400000000003</v>
      </c>
      <c r="K144" s="26">
        <v>1368.0130879999992</v>
      </c>
      <c r="L144" s="26">
        <v>0</v>
      </c>
      <c r="M144" s="26">
        <v>7</v>
      </c>
      <c r="N144" s="26">
        <v>6</v>
      </c>
      <c r="O144" s="27">
        <v>13</v>
      </c>
      <c r="P144" s="19">
        <v>12</v>
      </c>
      <c r="Q144" s="19">
        <v>1</v>
      </c>
      <c r="R144" s="19" t="s">
        <v>1940</v>
      </c>
      <c r="S144" s="26">
        <v>2281.2500000000005</v>
      </c>
      <c r="T144" s="28">
        <v>7</v>
      </c>
      <c r="U144" s="19" t="s">
        <v>836</v>
      </c>
      <c r="V144" s="19">
        <v>0</v>
      </c>
      <c r="X144" t="b">
        <f>VLOOKUP(B144,'M10B Order'!B:F,5,FALSE)=W144</f>
        <v>1</v>
      </c>
    </row>
    <row r="145" spans="1:24" x14ac:dyDescent="0.2">
      <c r="A145" s="19">
        <v>573626697</v>
      </c>
      <c r="B145" s="19" t="s">
        <v>940</v>
      </c>
      <c r="C145" s="19" t="s">
        <v>941</v>
      </c>
      <c r="D145" s="19" t="s">
        <v>370</v>
      </c>
      <c r="E145" s="19" t="s">
        <v>1778</v>
      </c>
      <c r="F145" s="19">
        <v>508804191</v>
      </c>
      <c r="G145" s="19">
        <v>8</v>
      </c>
      <c r="H145" s="19">
        <v>8</v>
      </c>
      <c r="I145" s="19">
        <v>1377</v>
      </c>
      <c r="J145" s="25">
        <v>0.969499</v>
      </c>
      <c r="K145" s="26">
        <v>335.99901599999998</v>
      </c>
      <c r="L145" s="26">
        <v>1672</v>
      </c>
      <c r="M145" s="26">
        <v>7</v>
      </c>
      <c r="N145" s="26">
        <v>6</v>
      </c>
      <c r="O145" s="27">
        <v>13</v>
      </c>
      <c r="P145" s="19">
        <v>12</v>
      </c>
      <c r="Q145" s="19">
        <v>1</v>
      </c>
      <c r="R145" s="19" t="s">
        <v>1940</v>
      </c>
      <c r="S145" s="26">
        <v>2153.9390159999998</v>
      </c>
      <c r="T145" s="28">
        <v>4</v>
      </c>
      <c r="U145" s="19" t="s">
        <v>431</v>
      </c>
      <c r="V145" s="19" t="s">
        <v>431</v>
      </c>
      <c r="X145" t="b">
        <f>VLOOKUP(B145,'M10B Order'!B:F,5,FALSE)=W145</f>
        <v>1</v>
      </c>
    </row>
    <row r="146" spans="1:24" x14ac:dyDescent="0.2">
      <c r="A146" s="19">
        <v>579058157</v>
      </c>
      <c r="B146" s="19" t="s">
        <v>1399</v>
      </c>
      <c r="C146" s="19" t="s">
        <v>1400</v>
      </c>
      <c r="D146" s="19" t="s">
        <v>370</v>
      </c>
      <c r="E146" s="19" t="s">
        <v>1778</v>
      </c>
      <c r="F146" s="19">
        <v>508804191</v>
      </c>
      <c r="G146" s="19">
        <v>8</v>
      </c>
      <c r="H146" s="19">
        <v>8</v>
      </c>
      <c r="I146" s="19">
        <v>1423</v>
      </c>
      <c r="J146" s="25">
        <v>0.93183400000000005</v>
      </c>
      <c r="K146" s="26">
        <v>776.00174399999946</v>
      </c>
      <c r="L146" s="26">
        <v>496</v>
      </c>
      <c r="M146" s="26">
        <v>7</v>
      </c>
      <c r="N146" s="26">
        <v>6</v>
      </c>
      <c r="O146" s="27">
        <v>13</v>
      </c>
      <c r="P146" s="19">
        <v>12</v>
      </c>
      <c r="Q146" s="19">
        <v>1</v>
      </c>
      <c r="R146" s="19" t="s">
        <v>1940</v>
      </c>
      <c r="S146" s="26">
        <v>1995.1817439999993</v>
      </c>
      <c r="T146" s="28">
        <v>0</v>
      </c>
      <c r="U146" s="19">
        <v>0</v>
      </c>
      <c r="V146" s="19" t="s">
        <v>431</v>
      </c>
      <c r="X146" t="b">
        <f>VLOOKUP(B146,'M10B Order'!B:F,5,FALSE)=W146</f>
        <v>1</v>
      </c>
    </row>
    <row r="147" spans="1:24" x14ac:dyDescent="0.2">
      <c r="A147" s="19">
        <v>555032599</v>
      </c>
      <c r="B147" s="19" t="s">
        <v>378</v>
      </c>
      <c r="C147" s="19" t="s">
        <v>379</v>
      </c>
      <c r="D147" s="19" t="s">
        <v>370</v>
      </c>
      <c r="E147" s="19" t="s">
        <v>1778</v>
      </c>
      <c r="F147" s="19">
        <v>508804191</v>
      </c>
      <c r="G147" s="19">
        <v>8</v>
      </c>
      <c r="H147" s="19">
        <v>8</v>
      </c>
      <c r="I147" s="19">
        <v>2832</v>
      </c>
      <c r="J147" s="25">
        <v>0.96645499999999995</v>
      </c>
      <c r="K147" s="26">
        <v>759.99552000000108</v>
      </c>
      <c r="L147" s="26">
        <v>1672</v>
      </c>
      <c r="M147" s="26">
        <v>7</v>
      </c>
      <c r="N147" s="26">
        <v>6</v>
      </c>
      <c r="O147" s="27">
        <v>13</v>
      </c>
      <c r="P147" s="19">
        <v>12</v>
      </c>
      <c r="Q147" s="19">
        <v>1</v>
      </c>
      <c r="R147" s="19" t="s">
        <v>1940</v>
      </c>
      <c r="S147" s="26">
        <v>1762.6355200000007</v>
      </c>
      <c r="T147" s="28">
        <v>6</v>
      </c>
      <c r="U147" s="19" t="s">
        <v>431</v>
      </c>
      <c r="V147" s="19" t="s">
        <v>431</v>
      </c>
      <c r="X147" t="b">
        <f>VLOOKUP(B147,'M10B Order'!B:F,5,FALSE)=W147</f>
        <v>1</v>
      </c>
    </row>
    <row r="148" spans="1:24" x14ac:dyDescent="0.2">
      <c r="A148" s="19">
        <v>579058018</v>
      </c>
      <c r="B148" s="19" t="s">
        <v>1385</v>
      </c>
      <c r="C148" s="19" t="s">
        <v>1386</v>
      </c>
      <c r="D148" s="19" t="s">
        <v>370</v>
      </c>
      <c r="E148" s="19" t="s">
        <v>1778</v>
      </c>
      <c r="F148" s="19">
        <v>508804191</v>
      </c>
      <c r="G148" s="19">
        <v>8</v>
      </c>
      <c r="H148" s="19">
        <v>8</v>
      </c>
      <c r="I148" s="19">
        <v>3048</v>
      </c>
      <c r="J148" s="25">
        <v>0.93307099999999998</v>
      </c>
      <c r="K148" s="26">
        <v>1631.9967360000005</v>
      </c>
      <c r="L148" s="26">
        <v>0</v>
      </c>
      <c r="M148" s="26">
        <v>7</v>
      </c>
      <c r="N148" s="26">
        <v>6</v>
      </c>
      <c r="O148" s="27">
        <v>13</v>
      </c>
      <c r="P148" s="19">
        <v>12</v>
      </c>
      <c r="Q148" s="19">
        <v>1</v>
      </c>
      <c r="R148" s="19" t="s">
        <v>1940</v>
      </c>
      <c r="S148" s="26">
        <v>1667.5</v>
      </c>
      <c r="T148" s="28">
        <v>8</v>
      </c>
      <c r="U148" s="19">
        <v>0</v>
      </c>
      <c r="V148" s="19" t="s">
        <v>431</v>
      </c>
      <c r="X148" t="b">
        <f>VLOOKUP(B148,'M10B Order'!B:F,5,FALSE)=W148</f>
        <v>1</v>
      </c>
    </row>
    <row r="149" spans="1:24" x14ac:dyDescent="0.2">
      <c r="A149" s="19">
        <v>579058103</v>
      </c>
      <c r="B149" s="19" t="s">
        <v>1391</v>
      </c>
      <c r="C149" s="19" t="s">
        <v>1392</v>
      </c>
      <c r="D149" s="19" t="s">
        <v>370</v>
      </c>
      <c r="E149" s="19" t="s">
        <v>1778</v>
      </c>
      <c r="F149" s="19">
        <v>508804191</v>
      </c>
      <c r="G149" s="19">
        <v>8</v>
      </c>
      <c r="H149" s="19">
        <v>8</v>
      </c>
      <c r="I149" s="19">
        <v>3407</v>
      </c>
      <c r="J149" s="25">
        <v>0.88112699999999999</v>
      </c>
      <c r="K149" s="26">
        <v>3240.0024880000001</v>
      </c>
      <c r="L149" s="26">
        <v>0</v>
      </c>
      <c r="M149" s="26">
        <v>7</v>
      </c>
      <c r="N149" s="26">
        <v>6</v>
      </c>
      <c r="O149" s="27">
        <v>13</v>
      </c>
      <c r="P149" s="19">
        <v>12</v>
      </c>
      <c r="Q149" s="19">
        <v>1</v>
      </c>
      <c r="R149" s="19" t="s">
        <v>1940</v>
      </c>
      <c r="S149" s="26">
        <v>1581.1700000000005</v>
      </c>
      <c r="T149" s="28">
        <v>9</v>
      </c>
      <c r="U149" s="19">
        <v>0</v>
      </c>
      <c r="V149" s="19" t="s">
        <v>431</v>
      </c>
      <c r="X149" t="b">
        <f>VLOOKUP(B149,'M10B Order'!B:F,5,FALSE)=W149</f>
        <v>1</v>
      </c>
    </row>
    <row r="150" spans="1:24" x14ac:dyDescent="0.2">
      <c r="A150" s="19">
        <v>573626532</v>
      </c>
      <c r="B150" s="19" t="s">
        <v>880</v>
      </c>
      <c r="C150" s="19" t="s">
        <v>881</v>
      </c>
      <c r="D150" s="19" t="s">
        <v>370</v>
      </c>
      <c r="E150" s="19" t="s">
        <v>1778</v>
      </c>
      <c r="F150" s="19">
        <v>508804191</v>
      </c>
      <c r="G150" s="19">
        <v>8</v>
      </c>
      <c r="H150" s="19">
        <v>8</v>
      </c>
      <c r="I150" s="19">
        <v>1378</v>
      </c>
      <c r="J150" s="25">
        <v>0.90711200000000003</v>
      </c>
      <c r="K150" s="26">
        <v>1023.9973119999996</v>
      </c>
      <c r="L150" s="26">
        <v>1000</v>
      </c>
      <c r="M150" s="26">
        <v>7</v>
      </c>
      <c r="N150" s="26">
        <v>6</v>
      </c>
      <c r="O150" s="27">
        <v>13</v>
      </c>
      <c r="P150" s="19">
        <v>12</v>
      </c>
      <c r="Q150" s="19">
        <v>1</v>
      </c>
      <c r="R150" s="19" t="s">
        <v>1940</v>
      </c>
      <c r="S150" s="26">
        <v>1548.4673119999993</v>
      </c>
      <c r="T150" s="28">
        <v>0</v>
      </c>
      <c r="U150" s="19" t="s">
        <v>751</v>
      </c>
      <c r="V150" s="19">
        <v>1026.4381429999996</v>
      </c>
      <c r="X150" t="b">
        <f>VLOOKUP(B150,'M10B Order'!B:F,5,FALSE)=W150</f>
        <v>1</v>
      </c>
    </row>
    <row r="151" spans="1:24" x14ac:dyDescent="0.2">
      <c r="A151" s="19">
        <v>579058011</v>
      </c>
      <c r="B151" s="19" t="s">
        <v>1413</v>
      </c>
      <c r="C151" s="19" t="s">
        <v>1414</v>
      </c>
      <c r="D151" s="19" t="s">
        <v>370</v>
      </c>
      <c r="E151" s="19" t="s">
        <v>1778</v>
      </c>
      <c r="F151" s="19">
        <v>508804191</v>
      </c>
      <c r="G151" s="19">
        <v>8</v>
      </c>
      <c r="H151" s="19">
        <v>8</v>
      </c>
      <c r="I151" s="19">
        <v>1234</v>
      </c>
      <c r="J151" s="25">
        <v>0.93760100000000002</v>
      </c>
      <c r="K151" s="26">
        <v>616.00292799999977</v>
      </c>
      <c r="L151" s="26">
        <v>1480</v>
      </c>
      <c r="M151" s="26">
        <v>7</v>
      </c>
      <c r="N151" s="26">
        <v>6</v>
      </c>
      <c r="O151" s="27">
        <v>13</v>
      </c>
      <c r="P151" s="19">
        <v>12</v>
      </c>
      <c r="Q151" s="19">
        <v>1</v>
      </c>
      <c r="R151" s="19" t="s">
        <v>1940</v>
      </c>
      <c r="S151" s="26">
        <v>1544.37</v>
      </c>
      <c r="T151" s="28">
        <v>0</v>
      </c>
      <c r="U151" s="19" t="s">
        <v>1166</v>
      </c>
      <c r="V151" s="19">
        <v>0</v>
      </c>
      <c r="X151" t="b">
        <f>VLOOKUP(B151,'M10B Order'!B:F,5,FALSE)=W151</f>
        <v>1</v>
      </c>
    </row>
    <row r="152" spans="1:24" x14ac:dyDescent="0.2">
      <c r="A152" s="19">
        <v>554919935</v>
      </c>
      <c r="B152" s="19" t="s">
        <v>117</v>
      </c>
      <c r="C152" s="19" t="s">
        <v>116</v>
      </c>
      <c r="D152" s="19" t="s">
        <v>370</v>
      </c>
      <c r="E152" s="19" t="s">
        <v>1778</v>
      </c>
      <c r="F152" s="19">
        <v>508804191</v>
      </c>
      <c r="G152" s="19">
        <v>8</v>
      </c>
      <c r="H152" s="19">
        <v>8</v>
      </c>
      <c r="I152" s="19">
        <v>3420</v>
      </c>
      <c r="J152" s="25">
        <v>0.92046799999999995</v>
      </c>
      <c r="K152" s="26">
        <v>2175.9955200000013</v>
      </c>
      <c r="L152" s="26">
        <v>0</v>
      </c>
      <c r="M152" s="26">
        <v>7</v>
      </c>
      <c r="N152" s="26">
        <v>6</v>
      </c>
      <c r="O152" s="27">
        <v>13</v>
      </c>
      <c r="P152" s="19">
        <v>12</v>
      </c>
      <c r="Q152" s="19">
        <v>1</v>
      </c>
      <c r="R152" s="19" t="s">
        <v>1940</v>
      </c>
      <c r="S152" s="26">
        <v>1509.55</v>
      </c>
      <c r="T152" s="28">
        <v>9</v>
      </c>
      <c r="U152" s="19" t="s">
        <v>579</v>
      </c>
      <c r="V152" s="19">
        <v>552.13879999999892</v>
      </c>
      <c r="X152" t="b">
        <f>VLOOKUP(B152,'M10B Order'!B:F,5,FALSE)=W152</f>
        <v>1</v>
      </c>
    </row>
    <row r="153" spans="1:24" x14ac:dyDescent="0.2">
      <c r="A153" s="19">
        <v>573626518</v>
      </c>
      <c r="B153" s="19" t="s">
        <v>858</v>
      </c>
      <c r="C153" s="19" t="s">
        <v>859</v>
      </c>
      <c r="D153" s="19" t="s">
        <v>370</v>
      </c>
      <c r="E153" s="19" t="s">
        <v>1778</v>
      </c>
      <c r="F153" s="19">
        <v>508804191</v>
      </c>
      <c r="G153" s="19">
        <v>8</v>
      </c>
      <c r="H153" s="19">
        <v>8</v>
      </c>
      <c r="I153" s="19">
        <v>1029</v>
      </c>
      <c r="J153" s="25">
        <v>0.87463599999999997</v>
      </c>
      <c r="K153" s="26">
        <v>1031.9964480000003</v>
      </c>
      <c r="L153" s="26">
        <v>1008</v>
      </c>
      <c r="M153" s="26">
        <v>7</v>
      </c>
      <c r="N153" s="26">
        <v>6</v>
      </c>
      <c r="O153" s="27">
        <v>13</v>
      </c>
      <c r="P153" s="19">
        <v>12</v>
      </c>
      <c r="Q153" s="19">
        <v>1</v>
      </c>
      <c r="R153" s="19" t="s">
        <v>1940</v>
      </c>
      <c r="S153" s="26">
        <v>1491.2564480000005</v>
      </c>
      <c r="T153" s="28">
        <v>0</v>
      </c>
      <c r="U153" s="19" t="s">
        <v>691</v>
      </c>
      <c r="V153" s="19">
        <v>773.75853000000029</v>
      </c>
      <c r="X153" t="b">
        <f>VLOOKUP(B153,'M10B Order'!B:F,5,FALSE)=W153</f>
        <v>1</v>
      </c>
    </row>
    <row r="154" spans="1:24" x14ac:dyDescent="0.2">
      <c r="A154" s="19">
        <v>554919573</v>
      </c>
      <c r="B154" s="19" t="s">
        <v>233</v>
      </c>
      <c r="C154" s="19" t="s">
        <v>232</v>
      </c>
      <c r="D154" s="19" t="s">
        <v>370</v>
      </c>
      <c r="E154" s="19" t="s">
        <v>1778</v>
      </c>
      <c r="F154" s="19">
        <v>508804191</v>
      </c>
      <c r="G154" s="19">
        <v>8</v>
      </c>
      <c r="H154" s="19">
        <v>8</v>
      </c>
      <c r="I154" s="19">
        <v>3420</v>
      </c>
      <c r="J154" s="25">
        <v>0.93830400000000003</v>
      </c>
      <c r="K154" s="26">
        <v>1688.0025599999992</v>
      </c>
      <c r="L154" s="26">
        <v>0</v>
      </c>
      <c r="M154" s="26">
        <v>7</v>
      </c>
      <c r="N154" s="26">
        <v>6</v>
      </c>
      <c r="O154" s="27">
        <v>13</v>
      </c>
      <c r="P154" s="19">
        <v>12</v>
      </c>
      <c r="Q154" s="19">
        <v>1</v>
      </c>
      <c r="R154" s="19" t="s">
        <v>1940</v>
      </c>
      <c r="S154" s="26">
        <v>1437.6200000000001</v>
      </c>
      <c r="T154" s="28">
        <v>10</v>
      </c>
      <c r="U154" s="19" t="s">
        <v>577</v>
      </c>
      <c r="V154" s="19" t="s">
        <v>431</v>
      </c>
      <c r="X154" t="b">
        <f>VLOOKUP(B154,'M10B Order'!B:F,5,FALSE)=W154</f>
        <v>1</v>
      </c>
    </row>
    <row r="155" spans="1:24" x14ac:dyDescent="0.2">
      <c r="A155" s="19">
        <v>573608978</v>
      </c>
      <c r="B155" s="19" t="s">
        <v>1101</v>
      </c>
      <c r="C155" s="19" t="s">
        <v>1102</v>
      </c>
      <c r="D155" s="19" t="s">
        <v>370</v>
      </c>
      <c r="E155" s="19" t="s">
        <v>1778</v>
      </c>
      <c r="F155" s="19">
        <v>508804198</v>
      </c>
      <c r="G155" s="19">
        <v>8</v>
      </c>
      <c r="H155" s="19">
        <v>8</v>
      </c>
      <c r="I155" s="19">
        <v>1379</v>
      </c>
      <c r="J155" s="25">
        <v>0.966642</v>
      </c>
      <c r="K155" s="26">
        <v>368.00545599999998</v>
      </c>
      <c r="L155" s="26">
        <v>6831</v>
      </c>
      <c r="M155" s="26">
        <v>7</v>
      </c>
      <c r="N155" s="26">
        <v>8</v>
      </c>
      <c r="O155" s="27">
        <v>15</v>
      </c>
      <c r="P155" s="19">
        <v>12</v>
      </c>
      <c r="Q155" s="19">
        <v>1</v>
      </c>
      <c r="R155" s="19" t="s">
        <v>1939</v>
      </c>
      <c r="S155" s="26">
        <v>1344.1154559999995</v>
      </c>
      <c r="T155" s="28">
        <v>9</v>
      </c>
      <c r="U155" s="19">
        <v>0</v>
      </c>
      <c r="V155" s="19" t="s">
        <v>431</v>
      </c>
      <c r="X155" t="b">
        <f>VLOOKUP(B155,'M10B Order'!B:F,5,FALSE)=W155</f>
        <v>1</v>
      </c>
    </row>
    <row r="156" spans="1:24" x14ac:dyDescent="0.2">
      <c r="A156" s="19">
        <v>579058016</v>
      </c>
      <c r="B156" s="19" t="s">
        <v>1379</v>
      </c>
      <c r="C156" s="19" t="s">
        <v>1380</v>
      </c>
      <c r="D156" s="19" t="s">
        <v>370</v>
      </c>
      <c r="E156" s="19" t="s">
        <v>1778</v>
      </c>
      <c r="F156" s="19">
        <v>508804191</v>
      </c>
      <c r="G156" s="19">
        <v>8</v>
      </c>
      <c r="H156" s="19">
        <v>8</v>
      </c>
      <c r="I156" s="19">
        <v>3407</v>
      </c>
      <c r="J156" s="25">
        <v>0.86292899999999995</v>
      </c>
      <c r="K156" s="26">
        <v>3736.0071760000014</v>
      </c>
      <c r="L156" s="26">
        <v>0</v>
      </c>
      <c r="M156" s="26">
        <v>7</v>
      </c>
      <c r="N156" s="26">
        <v>6</v>
      </c>
      <c r="O156" s="27">
        <v>13</v>
      </c>
      <c r="P156" s="19">
        <v>12</v>
      </c>
      <c r="Q156" s="19">
        <v>1</v>
      </c>
      <c r="R156" s="19" t="s">
        <v>1940</v>
      </c>
      <c r="S156" s="26">
        <v>1337.5400000000004</v>
      </c>
      <c r="T156" s="28">
        <v>10</v>
      </c>
      <c r="U156" s="19" t="s">
        <v>1154</v>
      </c>
      <c r="V156" s="19">
        <v>0</v>
      </c>
      <c r="X156" t="b">
        <f>VLOOKUP(B156,'M10B Order'!B:F,5,FALSE)=W156</f>
        <v>1</v>
      </c>
    </row>
    <row r="157" spans="1:24" x14ac:dyDescent="0.2">
      <c r="A157" s="19">
        <v>579058111</v>
      </c>
      <c r="B157" s="19" t="s">
        <v>1431</v>
      </c>
      <c r="C157" s="19" t="s">
        <v>1432</v>
      </c>
      <c r="D157" s="19" t="s">
        <v>370</v>
      </c>
      <c r="E157" s="19" t="s">
        <v>1778</v>
      </c>
      <c r="F157" s="19">
        <v>508804191</v>
      </c>
      <c r="G157" s="19">
        <v>8</v>
      </c>
      <c r="H157" s="19">
        <v>8</v>
      </c>
      <c r="I157" s="19">
        <v>3408</v>
      </c>
      <c r="J157" s="25">
        <v>0.955986</v>
      </c>
      <c r="K157" s="26">
        <v>1199.9976959999999</v>
      </c>
      <c r="L157" s="26">
        <v>968</v>
      </c>
      <c r="M157" s="26">
        <v>7</v>
      </c>
      <c r="N157" s="26">
        <v>6</v>
      </c>
      <c r="O157" s="27">
        <v>13</v>
      </c>
      <c r="P157" s="19">
        <v>12</v>
      </c>
      <c r="Q157" s="19">
        <v>1</v>
      </c>
      <c r="R157" s="19" t="s">
        <v>1940</v>
      </c>
      <c r="S157" s="26">
        <v>1247.6500000000001</v>
      </c>
      <c r="T157" s="28">
        <v>9</v>
      </c>
      <c r="U157" s="19">
        <v>0</v>
      </c>
      <c r="V157" s="19" t="s">
        <v>431</v>
      </c>
      <c r="X157" t="b">
        <f>VLOOKUP(B157,'M10B Order'!B:F,5,FALSE)=W157</f>
        <v>1</v>
      </c>
    </row>
    <row r="158" spans="1:24" x14ac:dyDescent="0.2">
      <c r="A158" s="19">
        <v>579057999</v>
      </c>
      <c r="B158" s="19" t="s">
        <v>1437</v>
      </c>
      <c r="C158" s="19" t="s">
        <v>1438</v>
      </c>
      <c r="D158" s="19" t="s">
        <v>370</v>
      </c>
      <c r="E158" s="19" t="s">
        <v>1778</v>
      </c>
      <c r="F158" s="19">
        <v>508804191</v>
      </c>
      <c r="G158" s="19">
        <v>8</v>
      </c>
      <c r="H158" s="19">
        <v>8</v>
      </c>
      <c r="I158" s="19">
        <v>1377</v>
      </c>
      <c r="J158" s="25">
        <v>0.96586799999999995</v>
      </c>
      <c r="K158" s="26">
        <v>375.99811200000056</v>
      </c>
      <c r="L158" s="26">
        <v>1480</v>
      </c>
      <c r="M158" s="26">
        <v>7</v>
      </c>
      <c r="N158" s="26">
        <v>6</v>
      </c>
      <c r="O158" s="27">
        <v>13</v>
      </c>
      <c r="P158" s="19">
        <v>12</v>
      </c>
      <c r="Q158" s="19">
        <v>1</v>
      </c>
      <c r="R158" s="19" t="s">
        <v>1940</v>
      </c>
      <c r="S158" s="26">
        <v>1227.7981120000004</v>
      </c>
      <c r="T158" s="28">
        <v>1</v>
      </c>
      <c r="U158" s="19" t="s">
        <v>1190</v>
      </c>
      <c r="V158" s="19">
        <v>0</v>
      </c>
      <c r="X158" t="b">
        <f>VLOOKUP(B158,'M10B Order'!B:F,5,FALSE)=W158</f>
        <v>1</v>
      </c>
    </row>
    <row r="159" spans="1:24" x14ac:dyDescent="0.2">
      <c r="A159" s="19">
        <v>579058045</v>
      </c>
      <c r="B159" s="19" t="s">
        <v>1383</v>
      </c>
      <c r="C159" s="19" t="s">
        <v>1384</v>
      </c>
      <c r="D159" s="19" t="s">
        <v>370</v>
      </c>
      <c r="E159" s="19" t="s">
        <v>1778</v>
      </c>
      <c r="F159" s="19">
        <v>508804191</v>
      </c>
      <c r="G159" s="19">
        <v>8</v>
      </c>
      <c r="H159" s="19">
        <v>8</v>
      </c>
      <c r="I159" s="19">
        <v>3407</v>
      </c>
      <c r="J159" s="25">
        <v>0.896096</v>
      </c>
      <c r="K159" s="26">
        <v>2832.0074239999999</v>
      </c>
      <c r="L159" s="26">
        <v>0</v>
      </c>
      <c r="M159" s="26">
        <v>7</v>
      </c>
      <c r="N159" s="26">
        <v>6</v>
      </c>
      <c r="O159" s="27">
        <v>13</v>
      </c>
      <c r="P159" s="19">
        <v>12</v>
      </c>
      <c r="Q159" s="19">
        <v>1</v>
      </c>
      <c r="R159" s="19" t="s">
        <v>1940</v>
      </c>
      <c r="S159" s="26">
        <v>1207.94</v>
      </c>
      <c r="T159" s="28">
        <v>10</v>
      </c>
      <c r="U159" s="19">
        <v>0</v>
      </c>
      <c r="V159" s="19" t="s">
        <v>431</v>
      </c>
      <c r="X159" t="b">
        <f>VLOOKUP(B159,'M10B Order'!B:F,5,FALSE)=W159</f>
        <v>1</v>
      </c>
    </row>
    <row r="160" spans="1:24" x14ac:dyDescent="0.2">
      <c r="A160" s="19">
        <v>579058049</v>
      </c>
      <c r="B160" s="19" t="s">
        <v>1389</v>
      </c>
      <c r="C160" s="19" t="s">
        <v>1390</v>
      </c>
      <c r="D160" s="19" t="s">
        <v>370</v>
      </c>
      <c r="E160" s="19" t="s">
        <v>1778</v>
      </c>
      <c r="F160" s="19">
        <v>508804191</v>
      </c>
      <c r="G160" s="19">
        <v>8</v>
      </c>
      <c r="H160" s="19">
        <v>8</v>
      </c>
      <c r="I160" s="19">
        <v>1031</v>
      </c>
      <c r="J160" s="25">
        <v>0.95053299999999996</v>
      </c>
      <c r="K160" s="26">
        <v>408.00381600000031</v>
      </c>
      <c r="L160" s="26">
        <v>1488</v>
      </c>
      <c r="M160" s="26">
        <v>7</v>
      </c>
      <c r="N160" s="26">
        <v>6</v>
      </c>
      <c r="O160" s="27">
        <v>13</v>
      </c>
      <c r="P160" s="19">
        <v>12</v>
      </c>
      <c r="Q160" s="19">
        <v>1</v>
      </c>
      <c r="R160" s="19" t="s">
        <v>1940</v>
      </c>
      <c r="S160" s="26">
        <v>1192.5338160000003</v>
      </c>
      <c r="T160" s="28">
        <v>1</v>
      </c>
      <c r="U160" s="19" t="s">
        <v>1158</v>
      </c>
      <c r="V160" s="19">
        <v>0</v>
      </c>
      <c r="X160" t="b">
        <f>VLOOKUP(B160,'M10B Order'!B:F,5,FALSE)=W160</f>
        <v>1</v>
      </c>
    </row>
    <row r="161" spans="1:24" x14ac:dyDescent="0.2">
      <c r="A161" s="19">
        <v>579058017</v>
      </c>
      <c r="B161" s="19" t="s">
        <v>1419</v>
      </c>
      <c r="C161" s="19" t="s">
        <v>1420</v>
      </c>
      <c r="D161" s="19" t="s">
        <v>370</v>
      </c>
      <c r="E161" s="19" t="s">
        <v>1778</v>
      </c>
      <c r="F161" s="19">
        <v>508804191</v>
      </c>
      <c r="G161" s="19">
        <v>8</v>
      </c>
      <c r="H161" s="19">
        <v>8</v>
      </c>
      <c r="I161" s="19">
        <v>1233</v>
      </c>
      <c r="J161" s="25">
        <v>0.90510900000000005</v>
      </c>
      <c r="K161" s="26">
        <v>936.00482399999953</v>
      </c>
      <c r="L161" s="26">
        <v>544</v>
      </c>
      <c r="M161" s="26">
        <v>7</v>
      </c>
      <c r="N161" s="26">
        <v>6</v>
      </c>
      <c r="O161" s="27">
        <v>13</v>
      </c>
      <c r="P161" s="19">
        <v>12</v>
      </c>
      <c r="Q161" s="19">
        <v>1</v>
      </c>
      <c r="R161" s="19" t="s">
        <v>1940</v>
      </c>
      <c r="S161" s="26">
        <v>1135.7248239999994</v>
      </c>
      <c r="T161" s="28">
        <v>8</v>
      </c>
      <c r="U161" s="19" t="s">
        <v>1186</v>
      </c>
      <c r="V161" s="19">
        <v>1990.211680000001</v>
      </c>
      <c r="X161" t="b">
        <f>VLOOKUP(B161,'M10B Order'!B:F,5,FALSE)=W161</f>
        <v>1</v>
      </c>
    </row>
    <row r="162" spans="1:24" x14ac:dyDescent="0.2">
      <c r="A162" s="19">
        <v>579058098</v>
      </c>
      <c r="B162" s="19" t="s">
        <v>1439</v>
      </c>
      <c r="C162" s="19" t="s">
        <v>1440</v>
      </c>
      <c r="D162" s="19" t="s">
        <v>370</v>
      </c>
      <c r="E162" s="19" t="s">
        <v>1778</v>
      </c>
      <c r="F162" s="19">
        <v>508804191</v>
      </c>
      <c r="G162" s="19">
        <v>8</v>
      </c>
      <c r="H162" s="19">
        <v>8</v>
      </c>
      <c r="I162" s="19">
        <v>1378</v>
      </c>
      <c r="J162" s="25">
        <v>0.97895500000000002</v>
      </c>
      <c r="K162" s="26">
        <v>232.0000799999998</v>
      </c>
      <c r="L162" s="26">
        <v>1720</v>
      </c>
      <c r="M162" s="26">
        <v>7</v>
      </c>
      <c r="N162" s="26">
        <v>6</v>
      </c>
      <c r="O162" s="27">
        <v>13</v>
      </c>
      <c r="P162" s="19">
        <v>12</v>
      </c>
      <c r="Q162" s="19">
        <v>1</v>
      </c>
      <c r="R162" s="19" t="s">
        <v>1940</v>
      </c>
      <c r="S162" s="26">
        <v>1115.55008</v>
      </c>
      <c r="T162" s="28">
        <v>4</v>
      </c>
      <c r="U162" s="19">
        <v>0</v>
      </c>
      <c r="V162" s="19" t="s">
        <v>431</v>
      </c>
      <c r="X162" t="b">
        <f>VLOOKUP(B162,'M10B Order'!B:F,5,FALSE)=W162</f>
        <v>1</v>
      </c>
    </row>
    <row r="163" spans="1:24" x14ac:dyDescent="0.2">
      <c r="A163" s="19">
        <v>579058113</v>
      </c>
      <c r="B163" s="19" t="s">
        <v>1401</v>
      </c>
      <c r="C163" s="19" t="s">
        <v>1402</v>
      </c>
      <c r="D163" s="19" t="s">
        <v>370</v>
      </c>
      <c r="E163" s="19" t="s">
        <v>1778</v>
      </c>
      <c r="F163" s="19">
        <v>508804191</v>
      </c>
      <c r="G163" s="19">
        <v>8</v>
      </c>
      <c r="H163" s="19">
        <v>8</v>
      </c>
      <c r="I163" s="19">
        <v>1030</v>
      </c>
      <c r="J163" s="25">
        <v>0.97961200000000004</v>
      </c>
      <c r="K163" s="26">
        <v>167.99711999999968</v>
      </c>
      <c r="L163" s="26">
        <v>1120</v>
      </c>
      <c r="M163" s="26">
        <v>7</v>
      </c>
      <c r="N163" s="26">
        <v>6</v>
      </c>
      <c r="O163" s="27">
        <v>13</v>
      </c>
      <c r="P163" s="19">
        <v>12</v>
      </c>
      <c r="Q163" s="19">
        <v>1</v>
      </c>
      <c r="R163" s="19" t="s">
        <v>1940</v>
      </c>
      <c r="S163" s="26">
        <v>1114.0771199999995</v>
      </c>
      <c r="T163" s="28">
        <v>3</v>
      </c>
      <c r="U163" s="19" t="s">
        <v>1162</v>
      </c>
      <c r="V163" s="19">
        <v>480.74831999999992</v>
      </c>
      <c r="X163" t="b">
        <f>VLOOKUP(B163,'M10B Order'!B:F,5,FALSE)=W163</f>
        <v>1</v>
      </c>
    </row>
    <row r="164" spans="1:24" x14ac:dyDescent="0.2">
      <c r="A164" s="19">
        <v>573626692</v>
      </c>
      <c r="B164" s="19" t="s">
        <v>944</v>
      </c>
      <c r="C164" s="19" t="s">
        <v>945</v>
      </c>
      <c r="D164" s="19" t="s">
        <v>370</v>
      </c>
      <c r="E164" s="19" t="s">
        <v>1778</v>
      </c>
      <c r="F164" s="19">
        <v>508804191</v>
      </c>
      <c r="G164" s="19">
        <v>8</v>
      </c>
      <c r="H164" s="19">
        <v>8</v>
      </c>
      <c r="I164" s="19">
        <v>1233</v>
      </c>
      <c r="J164" s="25">
        <v>0.98945700000000003</v>
      </c>
      <c r="K164" s="26">
        <v>103.9961519999997</v>
      </c>
      <c r="L164" s="26">
        <v>0</v>
      </c>
      <c r="M164" s="26">
        <v>7</v>
      </c>
      <c r="N164" s="26">
        <v>6</v>
      </c>
      <c r="O164" s="27">
        <v>13</v>
      </c>
      <c r="P164" s="19">
        <v>12</v>
      </c>
      <c r="Q164" s="19">
        <v>1</v>
      </c>
      <c r="R164" s="19" t="s">
        <v>1940</v>
      </c>
      <c r="S164" s="26">
        <v>1107.876152</v>
      </c>
      <c r="T164" s="28">
        <v>6</v>
      </c>
      <c r="U164" s="19" t="s">
        <v>717</v>
      </c>
      <c r="V164" s="19">
        <v>0</v>
      </c>
      <c r="X164" t="b">
        <f>VLOOKUP(B164,'M10B Order'!B:F,5,FALSE)=W164</f>
        <v>1</v>
      </c>
    </row>
    <row r="165" spans="1:24" x14ac:dyDescent="0.2">
      <c r="A165" s="19">
        <v>573626494</v>
      </c>
      <c r="B165" s="19" t="s">
        <v>864</v>
      </c>
      <c r="C165" s="19" t="s">
        <v>865</v>
      </c>
      <c r="D165" s="19" t="s">
        <v>370</v>
      </c>
      <c r="E165" s="19" t="s">
        <v>1778</v>
      </c>
      <c r="F165" s="19">
        <v>508804191</v>
      </c>
      <c r="G165" s="19">
        <v>8</v>
      </c>
      <c r="H165" s="19">
        <v>8</v>
      </c>
      <c r="I165" s="19">
        <v>2817</v>
      </c>
      <c r="J165" s="25">
        <v>0.97231100000000004</v>
      </c>
      <c r="K165" s="26">
        <v>623.99930399999914</v>
      </c>
      <c r="L165" s="26">
        <v>4152</v>
      </c>
      <c r="M165" s="26">
        <v>7</v>
      </c>
      <c r="N165" s="26">
        <v>6</v>
      </c>
      <c r="O165" s="27">
        <v>13</v>
      </c>
      <c r="P165" s="19">
        <v>12</v>
      </c>
      <c r="Q165" s="19">
        <v>1</v>
      </c>
      <c r="R165" s="19" t="s">
        <v>1940</v>
      </c>
      <c r="S165" s="26">
        <v>1002.2993039999983</v>
      </c>
      <c r="T165" s="28">
        <v>11</v>
      </c>
      <c r="U165" s="19" t="s">
        <v>733</v>
      </c>
      <c r="V165" s="19">
        <v>0</v>
      </c>
      <c r="X165" t="b">
        <f>VLOOKUP(B165,'M10B Order'!B:F,5,FALSE)=W165</f>
        <v>1</v>
      </c>
    </row>
    <row r="166" spans="1:24" x14ac:dyDescent="0.2">
      <c r="A166" s="19">
        <v>573626696</v>
      </c>
      <c r="B166" s="19" t="s">
        <v>938</v>
      </c>
      <c r="C166" s="19" t="s">
        <v>939</v>
      </c>
      <c r="D166" s="19" t="s">
        <v>370</v>
      </c>
      <c r="E166" s="19" t="s">
        <v>1778</v>
      </c>
      <c r="F166" s="19">
        <v>508804191</v>
      </c>
      <c r="G166" s="19">
        <v>8</v>
      </c>
      <c r="H166" s="19">
        <v>8</v>
      </c>
      <c r="I166" s="19">
        <v>3405</v>
      </c>
      <c r="J166" s="25">
        <v>0.97856100000000001</v>
      </c>
      <c r="K166" s="26">
        <v>583.99835999999959</v>
      </c>
      <c r="L166" s="26">
        <v>7392</v>
      </c>
      <c r="M166" s="26">
        <v>7</v>
      </c>
      <c r="N166" s="26">
        <v>6</v>
      </c>
      <c r="O166" s="27">
        <v>13</v>
      </c>
      <c r="P166" s="19">
        <v>12</v>
      </c>
      <c r="Q166" s="19">
        <v>1</v>
      </c>
      <c r="R166" s="19" t="s">
        <v>1940</v>
      </c>
      <c r="S166" s="26">
        <v>995.99836000000016</v>
      </c>
      <c r="T166" s="28">
        <v>11</v>
      </c>
      <c r="U166" s="19" t="s">
        <v>431</v>
      </c>
      <c r="V166" s="19" t="s">
        <v>431</v>
      </c>
      <c r="X166" t="b">
        <f>VLOOKUP(B166,'M10B Order'!B:F,5,FALSE)=W166</f>
        <v>1</v>
      </c>
    </row>
    <row r="167" spans="1:24" x14ac:dyDescent="0.2">
      <c r="A167" s="19">
        <v>555032685</v>
      </c>
      <c r="B167" s="19" t="s">
        <v>399</v>
      </c>
      <c r="C167" s="19" t="s">
        <v>400</v>
      </c>
      <c r="D167" s="19" t="s">
        <v>370</v>
      </c>
      <c r="E167" s="19" t="s">
        <v>1778</v>
      </c>
      <c r="F167" s="19">
        <v>508804191</v>
      </c>
      <c r="G167" s="19">
        <v>8</v>
      </c>
      <c r="H167" s="19">
        <v>8</v>
      </c>
      <c r="I167" s="19">
        <v>1045</v>
      </c>
      <c r="J167" s="25">
        <v>0.894737</v>
      </c>
      <c r="K167" s="26">
        <v>879.99867999999992</v>
      </c>
      <c r="L167" s="26">
        <v>568</v>
      </c>
      <c r="M167" s="26">
        <v>7</v>
      </c>
      <c r="N167" s="26">
        <v>6</v>
      </c>
      <c r="O167" s="27">
        <v>13</v>
      </c>
      <c r="P167" s="19">
        <v>12</v>
      </c>
      <c r="Q167" s="19">
        <v>1</v>
      </c>
      <c r="R167" s="19" t="s">
        <v>1940</v>
      </c>
      <c r="S167" s="26">
        <v>979.33868000000007</v>
      </c>
      <c r="T167" s="28">
        <v>6</v>
      </c>
      <c r="U167" s="19" t="s">
        <v>539</v>
      </c>
      <c r="V167" s="19">
        <v>0</v>
      </c>
      <c r="X167" t="b">
        <f>VLOOKUP(B167,'M10B Order'!B:F,5,FALSE)=W167</f>
        <v>1</v>
      </c>
    </row>
    <row r="168" spans="1:24" x14ac:dyDescent="0.2">
      <c r="A168" s="19">
        <v>579058009</v>
      </c>
      <c r="B168" s="19" t="s">
        <v>1387</v>
      </c>
      <c r="C168" s="19" t="s">
        <v>1388</v>
      </c>
      <c r="D168" s="19" t="s">
        <v>370</v>
      </c>
      <c r="E168" s="19" t="s">
        <v>1778</v>
      </c>
      <c r="F168" s="19">
        <v>508804191</v>
      </c>
      <c r="G168" s="19">
        <v>8</v>
      </c>
      <c r="H168" s="19">
        <v>8</v>
      </c>
      <c r="I168" s="19">
        <v>1030</v>
      </c>
      <c r="J168" s="25">
        <v>0.97864099999999998</v>
      </c>
      <c r="K168" s="26">
        <v>175.99816000000013</v>
      </c>
      <c r="L168" s="26">
        <v>512</v>
      </c>
      <c r="M168" s="26">
        <v>7</v>
      </c>
      <c r="N168" s="26">
        <v>6</v>
      </c>
      <c r="O168" s="27">
        <v>13</v>
      </c>
      <c r="P168" s="19">
        <v>12</v>
      </c>
      <c r="Q168" s="19">
        <v>1</v>
      </c>
      <c r="R168" s="19" t="s">
        <v>1940</v>
      </c>
      <c r="S168" s="26">
        <v>953.33816000000013</v>
      </c>
      <c r="T168" s="28">
        <v>4</v>
      </c>
      <c r="U168" s="19" t="s">
        <v>1156</v>
      </c>
      <c r="V168" s="19">
        <v>0</v>
      </c>
      <c r="X168" t="b">
        <f>VLOOKUP(B168,'M10B Order'!B:F,5,FALSE)=W168</f>
        <v>1</v>
      </c>
    </row>
    <row r="169" spans="1:24" x14ac:dyDescent="0.2">
      <c r="A169" s="19">
        <v>579058022</v>
      </c>
      <c r="B169" s="19" t="s">
        <v>1381</v>
      </c>
      <c r="C169" s="19" t="s">
        <v>1382</v>
      </c>
      <c r="D169" s="19" t="s">
        <v>370</v>
      </c>
      <c r="E169" s="19" t="s">
        <v>1778</v>
      </c>
      <c r="F169" s="19">
        <v>508804191</v>
      </c>
      <c r="G169" s="19">
        <v>8</v>
      </c>
      <c r="H169" s="19">
        <v>8</v>
      </c>
      <c r="I169" s="19">
        <v>3261</v>
      </c>
      <c r="J169" s="25">
        <v>0.92241600000000001</v>
      </c>
      <c r="K169" s="26">
        <v>2024.0113919999997</v>
      </c>
      <c r="L169" s="26">
        <v>0</v>
      </c>
      <c r="M169" s="26">
        <v>7</v>
      </c>
      <c r="N169" s="26">
        <v>6</v>
      </c>
      <c r="O169" s="27">
        <v>13</v>
      </c>
      <c r="P169" s="19">
        <v>12</v>
      </c>
      <c r="Q169" s="19">
        <v>1</v>
      </c>
      <c r="R169" s="19" t="s">
        <v>1940</v>
      </c>
      <c r="S169" s="26">
        <v>889.9800000000007</v>
      </c>
      <c r="T169" s="28">
        <v>10</v>
      </c>
      <c r="U169" s="19">
        <v>0</v>
      </c>
      <c r="V169" s="19" t="s">
        <v>431</v>
      </c>
      <c r="X169" t="b">
        <f>VLOOKUP(B169,'M10B Order'!B:F,5,FALSE)=W169</f>
        <v>1</v>
      </c>
    </row>
    <row r="170" spans="1:24" x14ac:dyDescent="0.2">
      <c r="A170" s="19">
        <v>579058021</v>
      </c>
      <c r="B170" s="19" t="s">
        <v>1403</v>
      </c>
      <c r="C170" s="19" t="s">
        <v>1404</v>
      </c>
      <c r="D170" s="19" t="s">
        <v>370</v>
      </c>
      <c r="E170" s="19" t="s">
        <v>1778</v>
      </c>
      <c r="F170" s="19">
        <v>508804191</v>
      </c>
      <c r="G170" s="19">
        <v>8</v>
      </c>
      <c r="H170" s="19">
        <v>8</v>
      </c>
      <c r="I170" s="19">
        <v>1032</v>
      </c>
      <c r="J170" s="25">
        <v>0.95833299999999999</v>
      </c>
      <c r="K170" s="26">
        <v>344.0027520000001</v>
      </c>
      <c r="L170" s="26">
        <v>1520</v>
      </c>
      <c r="M170" s="26">
        <v>7</v>
      </c>
      <c r="N170" s="26">
        <v>6</v>
      </c>
      <c r="O170" s="27">
        <v>13</v>
      </c>
      <c r="P170" s="19">
        <v>12</v>
      </c>
      <c r="Q170" s="19">
        <v>1</v>
      </c>
      <c r="R170" s="19" t="s">
        <v>1940</v>
      </c>
      <c r="S170" s="26">
        <v>832.362752</v>
      </c>
      <c r="T170" s="28">
        <v>3</v>
      </c>
      <c r="U170" s="19" t="s">
        <v>1164</v>
      </c>
      <c r="V170" s="19">
        <v>0</v>
      </c>
      <c r="X170" t="b">
        <f>VLOOKUP(B170,'M10B Order'!B:F,5,FALSE)=W170</f>
        <v>1</v>
      </c>
    </row>
    <row r="171" spans="1:24" x14ac:dyDescent="0.2">
      <c r="A171" s="19">
        <v>579058115</v>
      </c>
      <c r="B171" s="19" t="s">
        <v>1407</v>
      </c>
      <c r="C171" s="19" t="s">
        <v>1408</v>
      </c>
      <c r="D171" s="19" t="s">
        <v>370</v>
      </c>
      <c r="E171" s="19" t="s">
        <v>1778</v>
      </c>
      <c r="F171" s="19">
        <v>508804191</v>
      </c>
      <c r="G171" s="19">
        <v>8</v>
      </c>
      <c r="H171" s="19">
        <v>8</v>
      </c>
      <c r="I171" s="19">
        <v>1232</v>
      </c>
      <c r="J171" s="25">
        <v>0.98051900000000003</v>
      </c>
      <c r="K171" s="26">
        <v>192.0047359999997</v>
      </c>
      <c r="L171" s="26">
        <v>1816</v>
      </c>
      <c r="M171" s="26">
        <v>7</v>
      </c>
      <c r="N171" s="26">
        <v>6</v>
      </c>
      <c r="O171" s="27">
        <v>13</v>
      </c>
      <c r="P171" s="19">
        <v>12</v>
      </c>
      <c r="Q171" s="19">
        <v>1</v>
      </c>
      <c r="R171" s="19" t="s">
        <v>1940</v>
      </c>
      <c r="S171" s="26">
        <v>812.87473599999987</v>
      </c>
      <c r="T171" s="28">
        <v>6</v>
      </c>
      <c r="U171" s="19" t="s">
        <v>1172</v>
      </c>
      <c r="V171" s="19">
        <v>0</v>
      </c>
      <c r="X171" t="b">
        <f>VLOOKUP(B171,'M10B Order'!B:F,5,FALSE)=W171</f>
        <v>1</v>
      </c>
    </row>
    <row r="172" spans="1:24" x14ac:dyDescent="0.2">
      <c r="A172" s="19">
        <v>573608977</v>
      </c>
      <c r="B172" s="19" t="s">
        <v>1042</v>
      </c>
      <c r="C172" s="19" t="s">
        <v>1043</v>
      </c>
      <c r="D172" s="19" t="s">
        <v>370</v>
      </c>
      <c r="E172" s="19" t="s">
        <v>1778</v>
      </c>
      <c r="F172" s="19">
        <v>508804198</v>
      </c>
      <c r="G172" s="19">
        <v>8</v>
      </c>
      <c r="H172" s="19">
        <v>8</v>
      </c>
      <c r="I172" s="19">
        <v>1377</v>
      </c>
      <c r="J172" s="25">
        <v>0.968773</v>
      </c>
      <c r="K172" s="26">
        <v>343.99663200000003</v>
      </c>
      <c r="L172" s="26">
        <v>592</v>
      </c>
      <c r="M172" s="26">
        <v>7</v>
      </c>
      <c r="N172" s="26">
        <v>8</v>
      </c>
      <c r="O172" s="27">
        <v>15</v>
      </c>
      <c r="P172" s="19">
        <v>12</v>
      </c>
      <c r="Q172" s="19">
        <v>1</v>
      </c>
      <c r="R172" s="19" t="s">
        <v>1939</v>
      </c>
      <c r="S172" s="26">
        <v>780.11999999999989</v>
      </c>
      <c r="T172" s="28">
        <v>11</v>
      </c>
      <c r="U172" s="19">
        <v>0</v>
      </c>
      <c r="V172" s="19" t="s">
        <v>431</v>
      </c>
      <c r="X172" t="b">
        <f>VLOOKUP(B172,'M10B Order'!B:F,5,FALSE)=W172</f>
        <v>1</v>
      </c>
    </row>
    <row r="173" spans="1:24" x14ac:dyDescent="0.2">
      <c r="A173" s="19">
        <v>573626497</v>
      </c>
      <c r="B173" s="19" t="s">
        <v>874</v>
      </c>
      <c r="C173" s="19" t="s">
        <v>875</v>
      </c>
      <c r="D173" s="19" t="s">
        <v>370</v>
      </c>
      <c r="E173" s="19" t="s">
        <v>1778</v>
      </c>
      <c r="F173" s="19">
        <v>508804191</v>
      </c>
      <c r="G173" s="19">
        <v>8</v>
      </c>
      <c r="H173" s="19">
        <v>8</v>
      </c>
      <c r="I173" s="19">
        <v>1234</v>
      </c>
      <c r="J173" s="25">
        <v>0.947326</v>
      </c>
      <c r="K173" s="26">
        <v>519.99772799999994</v>
      </c>
      <c r="L173" s="26">
        <v>0</v>
      </c>
      <c r="M173" s="26">
        <v>7</v>
      </c>
      <c r="N173" s="26">
        <v>6</v>
      </c>
      <c r="O173" s="27">
        <v>13</v>
      </c>
      <c r="P173" s="19">
        <v>12</v>
      </c>
      <c r="Q173" s="19">
        <v>1</v>
      </c>
      <c r="R173" s="19" t="s">
        <v>1940</v>
      </c>
      <c r="S173" s="26">
        <v>773.49772800000028</v>
      </c>
      <c r="T173" s="28">
        <v>9</v>
      </c>
      <c r="U173" s="19" t="s">
        <v>739</v>
      </c>
      <c r="V173" s="19">
        <v>1069.2310619999982</v>
      </c>
      <c r="X173" t="b">
        <f>VLOOKUP(B173,'M10B Order'!B:F,5,FALSE)=W173</f>
        <v>1</v>
      </c>
    </row>
    <row r="174" spans="1:24" x14ac:dyDescent="0.2">
      <c r="A174" s="19">
        <v>554919950</v>
      </c>
      <c r="B174" s="19" t="s">
        <v>216</v>
      </c>
      <c r="C174" s="19" t="s">
        <v>215</v>
      </c>
      <c r="D174" s="19" t="s">
        <v>370</v>
      </c>
      <c r="E174" s="19" t="s">
        <v>1778</v>
      </c>
      <c r="F174" s="19">
        <v>508804191</v>
      </c>
      <c r="G174" s="19">
        <v>8</v>
      </c>
      <c r="H174" s="19">
        <v>8</v>
      </c>
      <c r="I174" s="19">
        <v>3207</v>
      </c>
      <c r="J174" s="25">
        <v>0.88431599999999999</v>
      </c>
      <c r="K174" s="26">
        <v>2967.9887040000003</v>
      </c>
      <c r="L174" s="26">
        <v>592</v>
      </c>
      <c r="M174" s="26">
        <v>7</v>
      </c>
      <c r="N174" s="26">
        <v>6</v>
      </c>
      <c r="O174" s="27">
        <v>13</v>
      </c>
      <c r="P174" s="19">
        <v>12</v>
      </c>
      <c r="Q174" s="19">
        <v>1</v>
      </c>
      <c r="R174" s="19" t="s">
        <v>1940</v>
      </c>
      <c r="S174" s="26">
        <v>729.37870400000065</v>
      </c>
      <c r="T174" s="28">
        <v>10</v>
      </c>
      <c r="U174" s="19" t="s">
        <v>431</v>
      </c>
      <c r="V174" s="19" t="s">
        <v>431</v>
      </c>
      <c r="X174" t="b">
        <f>VLOOKUP(B174,'M10B Order'!B:F,5,FALSE)=W174</f>
        <v>1</v>
      </c>
    </row>
    <row r="175" spans="1:24" x14ac:dyDescent="0.2">
      <c r="A175" s="19">
        <v>573626625</v>
      </c>
      <c r="B175" s="19" t="s">
        <v>916</v>
      </c>
      <c r="C175" s="19" t="s">
        <v>917</v>
      </c>
      <c r="D175" s="19" t="s">
        <v>370</v>
      </c>
      <c r="E175" s="19" t="s">
        <v>1778</v>
      </c>
      <c r="F175" s="19">
        <v>508804191</v>
      </c>
      <c r="G175" s="19">
        <v>8</v>
      </c>
      <c r="H175" s="19">
        <v>8</v>
      </c>
      <c r="I175" s="19">
        <v>1379</v>
      </c>
      <c r="J175" s="25">
        <v>0.97099299999999999</v>
      </c>
      <c r="K175" s="26">
        <v>320.00522400000006</v>
      </c>
      <c r="L175" s="26">
        <v>32</v>
      </c>
      <c r="M175" s="26">
        <v>7</v>
      </c>
      <c r="N175" s="26">
        <v>6</v>
      </c>
      <c r="O175" s="27">
        <v>13</v>
      </c>
      <c r="P175" s="19">
        <v>12</v>
      </c>
      <c r="Q175" s="19">
        <v>1</v>
      </c>
      <c r="R175" s="19" t="s">
        <v>1940</v>
      </c>
      <c r="S175" s="26">
        <v>699.85522400000013</v>
      </c>
      <c r="T175" s="28">
        <v>9</v>
      </c>
      <c r="U175" s="19" t="s">
        <v>704</v>
      </c>
      <c r="V175" s="19">
        <v>0</v>
      </c>
      <c r="X175" t="b">
        <f>VLOOKUP(B175,'M10B Order'!B:F,5,FALSE)=W175</f>
        <v>1</v>
      </c>
    </row>
    <row r="176" spans="1:24" x14ac:dyDescent="0.2">
      <c r="A176" s="19">
        <v>573626674</v>
      </c>
      <c r="B176" s="19" t="s">
        <v>898</v>
      </c>
      <c r="C176" s="19" t="s">
        <v>899</v>
      </c>
      <c r="D176" s="19" t="s">
        <v>370</v>
      </c>
      <c r="E176" s="19" t="s">
        <v>1778</v>
      </c>
      <c r="F176" s="19">
        <v>508804191</v>
      </c>
      <c r="G176" s="19">
        <v>8</v>
      </c>
      <c r="H176" s="19">
        <v>8</v>
      </c>
      <c r="I176" s="19">
        <v>1896</v>
      </c>
      <c r="J176" s="25">
        <v>0.98312200000000005</v>
      </c>
      <c r="K176" s="26">
        <v>256.00550399999923</v>
      </c>
      <c r="L176" s="26">
        <v>3784</v>
      </c>
      <c r="M176" s="26">
        <v>7</v>
      </c>
      <c r="N176" s="26">
        <v>6</v>
      </c>
      <c r="O176" s="27">
        <v>13</v>
      </c>
      <c r="P176" s="19">
        <v>12</v>
      </c>
      <c r="Q176" s="19">
        <v>1</v>
      </c>
      <c r="R176" s="19" t="s">
        <v>1940</v>
      </c>
      <c r="S176" s="26">
        <v>582.83550399999956</v>
      </c>
      <c r="T176" s="28">
        <v>10</v>
      </c>
      <c r="U176" s="19" t="s">
        <v>699</v>
      </c>
      <c r="V176" s="19" t="s">
        <v>431</v>
      </c>
      <c r="X176" t="b">
        <f>VLOOKUP(B176,'M10B Order'!B:F,5,FALSE)=W176</f>
        <v>1</v>
      </c>
    </row>
    <row r="177" spans="1:24" x14ac:dyDescent="0.2">
      <c r="A177" s="19">
        <v>579058042</v>
      </c>
      <c r="B177" s="19" t="s">
        <v>1461</v>
      </c>
      <c r="C177" s="19" t="s">
        <v>1462</v>
      </c>
      <c r="D177" s="19" t="s">
        <v>370</v>
      </c>
      <c r="E177" s="19" t="s">
        <v>1778</v>
      </c>
      <c r="F177" s="19">
        <v>508804191</v>
      </c>
      <c r="G177" s="19">
        <v>8</v>
      </c>
      <c r="H177" s="19">
        <v>8</v>
      </c>
      <c r="I177" s="19">
        <v>2846</v>
      </c>
      <c r="J177" s="25">
        <v>0.92726600000000003</v>
      </c>
      <c r="K177" s="26">
        <v>1656.0077119999992</v>
      </c>
      <c r="L177" s="26">
        <v>0</v>
      </c>
      <c r="M177" s="26">
        <v>7</v>
      </c>
      <c r="N177" s="26">
        <v>6</v>
      </c>
      <c r="O177" s="27">
        <v>13</v>
      </c>
      <c r="P177" s="19">
        <v>12</v>
      </c>
      <c r="Q177" s="19">
        <v>1</v>
      </c>
      <c r="R177" s="19" t="s">
        <v>1940</v>
      </c>
      <c r="S177" s="26">
        <v>580.38000000000011</v>
      </c>
      <c r="T177" s="28">
        <v>10</v>
      </c>
      <c r="U177" s="19" t="s">
        <v>840</v>
      </c>
      <c r="V177" s="19">
        <v>0</v>
      </c>
      <c r="X177" t="b">
        <f>VLOOKUP(B177,'M10B Order'!B:F,5,FALSE)=W177</f>
        <v>1</v>
      </c>
    </row>
    <row r="178" spans="1:24" x14ac:dyDescent="0.2">
      <c r="A178" s="19">
        <v>579058014</v>
      </c>
      <c r="B178" s="19" t="s">
        <v>1405</v>
      </c>
      <c r="C178" s="19" t="s">
        <v>1406</v>
      </c>
      <c r="D178" s="19" t="s">
        <v>370</v>
      </c>
      <c r="E178" s="19" t="s">
        <v>1778</v>
      </c>
      <c r="F178" s="19">
        <v>508804191</v>
      </c>
      <c r="G178" s="19">
        <v>8</v>
      </c>
      <c r="H178" s="19">
        <v>8</v>
      </c>
      <c r="I178" s="19">
        <v>1031</v>
      </c>
      <c r="J178" s="25">
        <v>0.98836100000000005</v>
      </c>
      <c r="K178" s="26">
        <v>95.998471999999623</v>
      </c>
      <c r="L178" s="26">
        <v>784</v>
      </c>
      <c r="M178" s="26">
        <v>7</v>
      </c>
      <c r="N178" s="26">
        <v>6</v>
      </c>
      <c r="O178" s="27">
        <v>13</v>
      </c>
      <c r="P178" s="19">
        <v>12</v>
      </c>
      <c r="Q178" s="19">
        <v>1</v>
      </c>
      <c r="R178" s="19" t="s">
        <v>1940</v>
      </c>
      <c r="S178" s="26">
        <v>573.49847199999954</v>
      </c>
      <c r="T178" s="28">
        <v>6</v>
      </c>
      <c r="U178" s="19" t="s">
        <v>1170</v>
      </c>
      <c r="V178" s="19">
        <v>0</v>
      </c>
      <c r="X178" t="b">
        <f>VLOOKUP(B178,'M10B Order'!B:F,5,FALSE)=W178</f>
        <v>1</v>
      </c>
    </row>
    <row r="179" spans="1:24" x14ac:dyDescent="0.2">
      <c r="A179" s="19">
        <v>579058055</v>
      </c>
      <c r="B179" s="19" t="s">
        <v>1453</v>
      </c>
      <c r="C179" s="19" t="s">
        <v>1454</v>
      </c>
      <c r="D179" s="19" t="s">
        <v>370</v>
      </c>
      <c r="E179" s="19" t="s">
        <v>1778</v>
      </c>
      <c r="F179" s="19">
        <v>508804191</v>
      </c>
      <c r="G179" s="19">
        <v>8</v>
      </c>
      <c r="H179" s="19">
        <v>8</v>
      </c>
      <c r="I179" s="19">
        <v>2029</v>
      </c>
      <c r="J179" s="25">
        <v>0.971414</v>
      </c>
      <c r="K179" s="26">
        <v>464.00795199999999</v>
      </c>
      <c r="L179" s="26">
        <v>1128</v>
      </c>
      <c r="M179" s="26">
        <v>7</v>
      </c>
      <c r="N179" s="26">
        <v>6</v>
      </c>
      <c r="O179" s="27">
        <v>13</v>
      </c>
      <c r="P179" s="19">
        <v>12</v>
      </c>
      <c r="Q179" s="19">
        <v>1</v>
      </c>
      <c r="R179" s="19" t="s">
        <v>1940</v>
      </c>
      <c r="S179" s="26">
        <v>569.02795199999991</v>
      </c>
      <c r="T179" s="28">
        <v>10</v>
      </c>
      <c r="U179" s="19">
        <v>0</v>
      </c>
      <c r="V179" s="19" t="s">
        <v>431</v>
      </c>
      <c r="X179" t="b">
        <f>VLOOKUP(B179,'M10B Order'!B:F,5,FALSE)=W179</f>
        <v>1</v>
      </c>
    </row>
    <row r="180" spans="1:24" x14ac:dyDescent="0.2">
      <c r="A180" s="19">
        <v>558137556</v>
      </c>
      <c r="B180" s="19" t="s">
        <v>510</v>
      </c>
      <c r="C180" s="19" t="s">
        <v>509</v>
      </c>
      <c r="D180" s="19" t="s">
        <v>370</v>
      </c>
      <c r="E180" s="19" t="s">
        <v>1778</v>
      </c>
      <c r="F180" s="19">
        <v>508804191</v>
      </c>
      <c r="G180" s="19">
        <v>8</v>
      </c>
      <c r="H180" s="19">
        <v>8</v>
      </c>
      <c r="I180" s="19">
        <v>3261</v>
      </c>
      <c r="J180" s="25">
        <v>0.94326900000000002</v>
      </c>
      <c r="K180" s="26">
        <v>1479.9983279999994</v>
      </c>
      <c r="L180" s="26">
        <v>0</v>
      </c>
      <c r="M180" s="26">
        <v>7</v>
      </c>
      <c r="N180" s="26">
        <v>6</v>
      </c>
      <c r="O180" s="27">
        <v>13</v>
      </c>
      <c r="P180" s="19">
        <v>12</v>
      </c>
      <c r="Q180" s="19">
        <v>1</v>
      </c>
      <c r="R180" s="19" t="s">
        <v>1940</v>
      </c>
      <c r="S180" s="26">
        <v>559.2183279999997</v>
      </c>
      <c r="T180" s="28">
        <v>12</v>
      </c>
      <c r="U180" s="19" t="s">
        <v>575</v>
      </c>
      <c r="V180" s="19">
        <v>0</v>
      </c>
      <c r="X180" t="b">
        <f>VLOOKUP(B180,'M10B Order'!B:F,5,FALSE)=W180</f>
        <v>1</v>
      </c>
    </row>
    <row r="181" spans="1:24" x14ac:dyDescent="0.2">
      <c r="A181" s="19">
        <v>573626536</v>
      </c>
      <c r="B181" s="19" t="s">
        <v>860</v>
      </c>
      <c r="C181" s="19" t="s">
        <v>861</v>
      </c>
      <c r="D181" s="19" t="s">
        <v>370</v>
      </c>
      <c r="E181" s="19" t="s">
        <v>1778</v>
      </c>
      <c r="F181" s="19">
        <v>508804191</v>
      </c>
      <c r="G181" s="19">
        <v>8</v>
      </c>
      <c r="H181" s="19">
        <v>8</v>
      </c>
      <c r="I181" s="19">
        <v>1031</v>
      </c>
      <c r="J181" s="25">
        <v>0.98642099999999999</v>
      </c>
      <c r="K181" s="26">
        <v>111.99959200000006</v>
      </c>
      <c r="L181" s="26">
        <v>2432</v>
      </c>
      <c r="M181" s="26">
        <v>7</v>
      </c>
      <c r="N181" s="26">
        <v>6</v>
      </c>
      <c r="O181" s="27">
        <v>13</v>
      </c>
      <c r="P181" s="19">
        <v>12</v>
      </c>
      <c r="Q181" s="19">
        <v>1</v>
      </c>
      <c r="R181" s="19" t="s">
        <v>1940</v>
      </c>
      <c r="S181" s="26">
        <v>548.63959200000033</v>
      </c>
      <c r="T181" s="28">
        <v>9</v>
      </c>
      <c r="U181" s="19" t="s">
        <v>715</v>
      </c>
      <c r="V181" s="19" t="s">
        <v>431</v>
      </c>
      <c r="X181" t="b">
        <f>VLOOKUP(B181,'M10B Order'!B:F,5,FALSE)=W181</f>
        <v>1</v>
      </c>
    </row>
    <row r="182" spans="1:24" x14ac:dyDescent="0.2">
      <c r="A182" s="19">
        <v>573626630</v>
      </c>
      <c r="B182" s="19" t="s">
        <v>958</v>
      </c>
      <c r="C182" s="19" t="s">
        <v>959</v>
      </c>
      <c r="D182" s="19" t="s">
        <v>370</v>
      </c>
      <c r="E182" s="19" t="s">
        <v>1778</v>
      </c>
      <c r="F182" s="19">
        <v>508804191</v>
      </c>
      <c r="G182" s="19">
        <v>8</v>
      </c>
      <c r="H182" s="19">
        <v>8</v>
      </c>
      <c r="I182" s="19">
        <v>2817</v>
      </c>
      <c r="J182" s="25">
        <v>0.97763599999999995</v>
      </c>
      <c r="K182" s="26">
        <v>503.99510400000116</v>
      </c>
      <c r="L182" s="26">
        <v>5192</v>
      </c>
      <c r="M182" s="26">
        <v>7</v>
      </c>
      <c r="N182" s="26">
        <v>6</v>
      </c>
      <c r="O182" s="27">
        <v>13</v>
      </c>
      <c r="P182" s="19">
        <v>12</v>
      </c>
      <c r="Q182" s="19">
        <v>1</v>
      </c>
      <c r="R182" s="19" t="s">
        <v>1940</v>
      </c>
      <c r="S182" s="26">
        <v>544.25510400000098</v>
      </c>
      <c r="T182" s="28">
        <v>12</v>
      </c>
      <c r="U182" s="19" t="s">
        <v>431</v>
      </c>
      <c r="V182" s="19" t="s">
        <v>431</v>
      </c>
      <c r="X182" t="b">
        <f>VLOOKUP(B182,'M10B Order'!B:F,5,FALSE)=W182</f>
        <v>1</v>
      </c>
    </row>
    <row r="183" spans="1:24" x14ac:dyDescent="0.2">
      <c r="A183" s="19">
        <v>554919541</v>
      </c>
      <c r="B183" s="19" t="s">
        <v>101</v>
      </c>
      <c r="C183" s="19" t="s">
        <v>100</v>
      </c>
      <c r="D183" s="19" t="s">
        <v>370</v>
      </c>
      <c r="E183" s="19" t="s">
        <v>1778</v>
      </c>
      <c r="F183" s="19">
        <v>508804191</v>
      </c>
      <c r="G183" s="19">
        <v>8</v>
      </c>
      <c r="H183" s="19">
        <v>8</v>
      </c>
      <c r="I183" s="19">
        <v>2687</v>
      </c>
      <c r="J183" s="25">
        <v>0.95310799999999996</v>
      </c>
      <c r="K183" s="26">
        <v>1007.990432000001</v>
      </c>
      <c r="L183" s="26">
        <v>776</v>
      </c>
      <c r="M183" s="26">
        <v>7</v>
      </c>
      <c r="N183" s="26">
        <v>6</v>
      </c>
      <c r="O183" s="27">
        <v>13</v>
      </c>
      <c r="P183" s="19">
        <v>12</v>
      </c>
      <c r="Q183" s="19">
        <v>1</v>
      </c>
      <c r="R183" s="19" t="s">
        <v>1940</v>
      </c>
      <c r="S183" s="26">
        <v>527.43043200000091</v>
      </c>
      <c r="T183" s="28">
        <v>11</v>
      </c>
      <c r="U183" s="19" t="s">
        <v>554</v>
      </c>
      <c r="V183" s="19">
        <v>0</v>
      </c>
      <c r="X183" t="b">
        <f>VLOOKUP(B183,'M10B Order'!B:F,5,FALSE)=W183</f>
        <v>1</v>
      </c>
    </row>
    <row r="184" spans="1:24" x14ac:dyDescent="0.2">
      <c r="A184" s="19">
        <v>579058012</v>
      </c>
      <c r="B184" s="19" t="s">
        <v>1417</v>
      </c>
      <c r="C184" s="19" t="s">
        <v>1418</v>
      </c>
      <c r="D184" s="19" t="s">
        <v>370</v>
      </c>
      <c r="E184" s="19" t="s">
        <v>1778</v>
      </c>
      <c r="F184" s="19">
        <v>508804191</v>
      </c>
      <c r="G184" s="19">
        <v>8</v>
      </c>
      <c r="H184" s="19">
        <v>8</v>
      </c>
      <c r="I184" s="19">
        <v>3193</v>
      </c>
      <c r="J184" s="25">
        <v>0.98997800000000002</v>
      </c>
      <c r="K184" s="26">
        <v>256.00196799999935</v>
      </c>
      <c r="L184" s="26">
        <v>2776</v>
      </c>
      <c r="M184" s="26">
        <v>7</v>
      </c>
      <c r="N184" s="26">
        <v>6</v>
      </c>
      <c r="O184" s="27">
        <v>13</v>
      </c>
      <c r="P184" s="19">
        <v>12</v>
      </c>
      <c r="Q184" s="19">
        <v>1</v>
      </c>
      <c r="R184" s="19" t="s">
        <v>1940</v>
      </c>
      <c r="S184" s="26">
        <v>480.39196799999962</v>
      </c>
      <c r="T184" s="28">
        <v>11</v>
      </c>
      <c r="U184" s="19">
        <v>0</v>
      </c>
      <c r="V184" s="19" t="s">
        <v>431</v>
      </c>
      <c r="X184" t="b">
        <f>VLOOKUP(B184,'M10B Order'!B:F,5,FALSE)=W184</f>
        <v>1</v>
      </c>
    </row>
    <row r="185" spans="1:24" x14ac:dyDescent="0.2">
      <c r="A185" s="19">
        <v>579058024</v>
      </c>
      <c r="B185" s="19" t="s">
        <v>1415</v>
      </c>
      <c r="C185" s="19" t="s">
        <v>1416</v>
      </c>
      <c r="D185" s="19" t="s">
        <v>370</v>
      </c>
      <c r="E185" s="19" t="s">
        <v>1778</v>
      </c>
      <c r="F185" s="19">
        <v>508804191</v>
      </c>
      <c r="G185" s="19">
        <v>8</v>
      </c>
      <c r="H185" s="19">
        <v>8</v>
      </c>
      <c r="I185" s="19">
        <v>1378</v>
      </c>
      <c r="J185" s="25">
        <v>0.86647300000000005</v>
      </c>
      <c r="K185" s="26">
        <v>1472.0016479999995</v>
      </c>
      <c r="L185" s="26">
        <v>0</v>
      </c>
      <c r="M185" s="26">
        <v>7</v>
      </c>
      <c r="N185" s="26">
        <v>6</v>
      </c>
      <c r="O185" s="27">
        <v>13</v>
      </c>
      <c r="P185" s="19">
        <v>12</v>
      </c>
      <c r="Q185" s="19">
        <v>1</v>
      </c>
      <c r="R185" s="19" t="s">
        <v>1940</v>
      </c>
      <c r="S185" s="26">
        <v>452.74999999999994</v>
      </c>
      <c r="T185" s="28">
        <v>10</v>
      </c>
      <c r="U185" s="19" t="s">
        <v>1168</v>
      </c>
      <c r="V185" s="19">
        <v>1875.6392399999993</v>
      </c>
      <c r="X185" t="b">
        <f>VLOOKUP(B185,'M10B Order'!B:F,5,FALSE)=W185</f>
        <v>1</v>
      </c>
    </row>
    <row r="186" spans="1:24" x14ac:dyDescent="0.2">
      <c r="A186" s="19">
        <v>573626507</v>
      </c>
      <c r="B186" s="19" t="s">
        <v>866</v>
      </c>
      <c r="C186" s="19" t="s">
        <v>867</v>
      </c>
      <c r="D186" s="19" t="s">
        <v>370</v>
      </c>
      <c r="E186" s="19" t="s">
        <v>1778</v>
      </c>
      <c r="F186" s="19">
        <v>508804191</v>
      </c>
      <c r="G186" s="19">
        <v>8</v>
      </c>
      <c r="H186" s="19">
        <v>8</v>
      </c>
      <c r="I186" s="19">
        <v>1233</v>
      </c>
      <c r="J186" s="25">
        <v>0.98540099999999997</v>
      </c>
      <c r="K186" s="26">
        <v>144.00453600000029</v>
      </c>
      <c r="L186" s="26">
        <v>3264</v>
      </c>
      <c r="M186" s="26">
        <v>7</v>
      </c>
      <c r="N186" s="26">
        <v>6</v>
      </c>
      <c r="O186" s="27">
        <v>13</v>
      </c>
      <c r="P186" s="19">
        <v>12</v>
      </c>
      <c r="Q186" s="19">
        <v>1</v>
      </c>
      <c r="R186" s="19" t="s">
        <v>1940</v>
      </c>
      <c r="S186" s="26">
        <v>417.45453600000036</v>
      </c>
      <c r="T186" s="28">
        <v>11</v>
      </c>
      <c r="U186" s="19" t="s">
        <v>735</v>
      </c>
      <c r="V186" s="19" t="s">
        <v>431</v>
      </c>
      <c r="X186" t="b">
        <f>VLOOKUP(B186,'M10B Order'!B:F,5,FALSE)=W186</f>
        <v>1</v>
      </c>
    </row>
    <row r="187" spans="1:24" x14ac:dyDescent="0.2">
      <c r="A187" s="19">
        <v>579058030</v>
      </c>
      <c r="B187" s="19" t="s">
        <v>1457</v>
      </c>
      <c r="C187" s="19" t="s">
        <v>1458</v>
      </c>
      <c r="D187" s="19" t="s">
        <v>370</v>
      </c>
      <c r="E187" s="19" t="s">
        <v>1778</v>
      </c>
      <c r="F187" s="19">
        <v>508804191</v>
      </c>
      <c r="G187" s="19">
        <v>8</v>
      </c>
      <c r="H187" s="19">
        <v>8</v>
      </c>
      <c r="I187" s="19">
        <v>1232</v>
      </c>
      <c r="J187" s="25">
        <v>0.99188299999999996</v>
      </c>
      <c r="K187" s="26">
        <v>80.001152000000403</v>
      </c>
      <c r="L187" s="26">
        <v>1880</v>
      </c>
      <c r="M187" s="26">
        <v>7</v>
      </c>
      <c r="N187" s="26">
        <v>6</v>
      </c>
      <c r="O187" s="27">
        <v>13</v>
      </c>
      <c r="P187" s="19">
        <v>12</v>
      </c>
      <c r="Q187" s="19">
        <v>1</v>
      </c>
      <c r="R187" s="19" t="s">
        <v>1940</v>
      </c>
      <c r="S187" s="26">
        <v>402.33115200000026</v>
      </c>
      <c r="T187" s="28">
        <v>9</v>
      </c>
      <c r="U187" s="19" t="s">
        <v>1208</v>
      </c>
      <c r="V187" s="19">
        <v>0</v>
      </c>
      <c r="X187" t="b">
        <f>VLOOKUP(B187,'M10B Order'!B:F,5,FALSE)=W187</f>
        <v>1</v>
      </c>
    </row>
    <row r="188" spans="1:24" x14ac:dyDescent="0.2">
      <c r="A188" s="19">
        <v>557968912</v>
      </c>
      <c r="B188" s="19" t="s">
        <v>1071</v>
      </c>
      <c r="C188" s="19" t="s">
        <v>1072</v>
      </c>
      <c r="D188" s="19" t="s">
        <v>370</v>
      </c>
      <c r="E188" s="19" t="s">
        <v>1778</v>
      </c>
      <c r="F188" s="19">
        <v>508804198</v>
      </c>
      <c r="G188" s="19">
        <v>8</v>
      </c>
      <c r="H188" s="19">
        <v>8</v>
      </c>
      <c r="I188" s="19">
        <v>998</v>
      </c>
      <c r="J188" s="25">
        <v>0.97795600000000005</v>
      </c>
      <c r="K188" s="26">
        <v>175.99929599999962</v>
      </c>
      <c r="L188" s="26">
        <v>1064</v>
      </c>
      <c r="M188" s="26">
        <v>7</v>
      </c>
      <c r="N188" s="26">
        <v>8</v>
      </c>
      <c r="O188" s="27">
        <v>15</v>
      </c>
      <c r="P188" s="19">
        <v>12</v>
      </c>
      <c r="Q188" s="19">
        <v>1</v>
      </c>
      <c r="R188" s="19" t="s">
        <v>1939</v>
      </c>
      <c r="S188" s="26">
        <v>391.35999999999979</v>
      </c>
      <c r="T188" s="28">
        <v>11</v>
      </c>
      <c r="U188" s="19">
        <v>0</v>
      </c>
      <c r="V188" s="19" t="s">
        <v>431</v>
      </c>
      <c r="X188" t="b">
        <f>VLOOKUP(B188,'M10B Order'!B:F,5,FALSE)=W188</f>
        <v>1</v>
      </c>
    </row>
    <row r="189" spans="1:24" x14ac:dyDescent="0.2">
      <c r="A189" s="19">
        <v>579058037</v>
      </c>
      <c r="B189" s="19" t="s">
        <v>1463</v>
      </c>
      <c r="C189" s="19" t="s">
        <v>1464</v>
      </c>
      <c r="D189" s="19" t="s">
        <v>370</v>
      </c>
      <c r="E189" s="19" t="s">
        <v>1778</v>
      </c>
      <c r="F189" s="19">
        <v>508804191</v>
      </c>
      <c r="G189" s="19">
        <v>8</v>
      </c>
      <c r="H189" s="19">
        <v>8</v>
      </c>
      <c r="I189" s="19">
        <v>3406</v>
      </c>
      <c r="J189" s="25">
        <v>0.98121000000000003</v>
      </c>
      <c r="K189" s="26">
        <v>511.9899199999993</v>
      </c>
      <c r="L189" s="26">
        <v>1608</v>
      </c>
      <c r="M189" s="26">
        <v>7</v>
      </c>
      <c r="N189" s="26">
        <v>6</v>
      </c>
      <c r="O189" s="27">
        <v>13</v>
      </c>
      <c r="P189" s="19">
        <v>12</v>
      </c>
      <c r="Q189" s="19">
        <v>1</v>
      </c>
      <c r="R189" s="19" t="s">
        <v>1940</v>
      </c>
      <c r="S189" s="26">
        <v>390.89991999999961</v>
      </c>
      <c r="T189" s="28">
        <v>12</v>
      </c>
      <c r="U189" s="19" t="s">
        <v>838</v>
      </c>
      <c r="V189" s="19">
        <v>0</v>
      </c>
      <c r="X189" t="b">
        <f>VLOOKUP(B189,'M10B Order'!B:F,5,FALSE)=W189</f>
        <v>1</v>
      </c>
    </row>
    <row r="190" spans="1:24" x14ac:dyDescent="0.2">
      <c r="A190" s="19">
        <v>573608975</v>
      </c>
      <c r="B190" s="19" t="s">
        <v>1052</v>
      </c>
      <c r="C190" s="29" t="s">
        <v>1053</v>
      </c>
      <c r="D190" s="19" t="s">
        <v>370</v>
      </c>
      <c r="E190" s="19" t="s">
        <v>1778</v>
      </c>
      <c r="F190" s="19">
        <v>508804198</v>
      </c>
      <c r="G190" s="19">
        <v>8</v>
      </c>
      <c r="H190" s="19">
        <v>8</v>
      </c>
      <c r="I190" s="19">
        <v>1232</v>
      </c>
      <c r="J190" s="25">
        <v>0.97889599999999999</v>
      </c>
      <c r="K190" s="26">
        <v>208.00102400000011</v>
      </c>
      <c r="L190" s="26">
        <v>1344</v>
      </c>
      <c r="M190" s="26">
        <v>7</v>
      </c>
      <c r="N190" s="26">
        <v>8</v>
      </c>
      <c r="O190" s="27">
        <v>15</v>
      </c>
      <c r="P190" s="19">
        <v>12</v>
      </c>
      <c r="Q190" s="19">
        <v>1</v>
      </c>
      <c r="R190" s="19" t="s">
        <v>1939</v>
      </c>
      <c r="S190" s="26">
        <v>387.7510239999998</v>
      </c>
      <c r="T190" s="28">
        <v>11</v>
      </c>
      <c r="U190" s="19">
        <v>0</v>
      </c>
      <c r="V190" s="19" t="s">
        <v>431</v>
      </c>
      <c r="X190" t="b">
        <f>VLOOKUP(B190,'M10B Order'!B:F,5,FALSE)=W190</f>
        <v>1</v>
      </c>
    </row>
    <row r="191" spans="1:24" x14ac:dyDescent="0.2">
      <c r="A191" s="19">
        <v>573626627</v>
      </c>
      <c r="B191" s="19" t="s">
        <v>910</v>
      </c>
      <c r="C191" s="19" t="s">
        <v>911</v>
      </c>
      <c r="D191" s="19" t="s">
        <v>370</v>
      </c>
      <c r="E191" s="19" t="s">
        <v>1778</v>
      </c>
      <c r="F191" s="19">
        <v>508804191</v>
      </c>
      <c r="G191" s="19">
        <v>8</v>
      </c>
      <c r="H191" s="19">
        <v>8</v>
      </c>
      <c r="I191" s="19">
        <v>1030</v>
      </c>
      <c r="J191" s="25">
        <v>0.99029100000000003</v>
      </c>
      <c r="K191" s="26">
        <v>80.002159999999733</v>
      </c>
      <c r="L191" s="26">
        <v>1976</v>
      </c>
      <c r="M191" s="26">
        <v>7</v>
      </c>
      <c r="N191" s="26">
        <v>6</v>
      </c>
      <c r="O191" s="27">
        <v>13</v>
      </c>
      <c r="P191" s="19">
        <v>12</v>
      </c>
      <c r="Q191" s="19">
        <v>1</v>
      </c>
      <c r="R191" s="19" t="s">
        <v>1940</v>
      </c>
      <c r="S191" s="26">
        <v>336.48215999999957</v>
      </c>
      <c r="T191" s="28">
        <v>11</v>
      </c>
      <c r="U191" s="19" t="s">
        <v>743</v>
      </c>
      <c r="V191" s="19">
        <v>0</v>
      </c>
      <c r="X191" t="b">
        <f>VLOOKUP(B191,'M10B Order'!B:F,5,FALSE)=W191</f>
        <v>1</v>
      </c>
    </row>
    <row r="192" spans="1:24" x14ac:dyDescent="0.2">
      <c r="A192" s="19">
        <v>579058035</v>
      </c>
      <c r="B192" s="19" t="s">
        <v>1427</v>
      </c>
      <c r="C192" s="19" t="s">
        <v>1428</v>
      </c>
      <c r="D192" s="19" t="s">
        <v>370</v>
      </c>
      <c r="E192" s="19" t="s">
        <v>1778</v>
      </c>
      <c r="F192" s="19">
        <v>508804191</v>
      </c>
      <c r="G192" s="19">
        <v>8</v>
      </c>
      <c r="H192" s="19">
        <v>8</v>
      </c>
      <c r="I192" s="19">
        <v>1379</v>
      </c>
      <c r="J192" s="25">
        <v>0.98694700000000002</v>
      </c>
      <c r="K192" s="26">
        <v>144.00069599999981</v>
      </c>
      <c r="L192" s="26">
        <v>2056</v>
      </c>
      <c r="M192" s="26">
        <v>7</v>
      </c>
      <c r="N192" s="26">
        <v>6</v>
      </c>
      <c r="O192" s="27">
        <v>13</v>
      </c>
      <c r="P192" s="19">
        <v>12</v>
      </c>
      <c r="Q192" s="19">
        <v>1</v>
      </c>
      <c r="R192" s="19" t="s">
        <v>1940</v>
      </c>
      <c r="S192" s="26">
        <v>332.08069599999999</v>
      </c>
      <c r="T192" s="28">
        <v>10</v>
      </c>
      <c r="U192" s="19" t="s">
        <v>1182</v>
      </c>
      <c r="V192" s="19">
        <v>0</v>
      </c>
      <c r="X192" t="b">
        <f>VLOOKUP(B192,'M10B Order'!B:F,5,FALSE)=W192</f>
        <v>1</v>
      </c>
    </row>
    <row r="193" spans="1:24" x14ac:dyDescent="0.2">
      <c r="A193" s="19">
        <v>579058000</v>
      </c>
      <c r="B193" s="19" t="s">
        <v>1425</v>
      </c>
      <c r="C193" s="19" t="s">
        <v>1426</v>
      </c>
      <c r="D193" s="19" t="s">
        <v>370</v>
      </c>
      <c r="E193" s="19" t="s">
        <v>1778</v>
      </c>
      <c r="F193" s="19">
        <v>508804191</v>
      </c>
      <c r="G193" s="19">
        <v>8</v>
      </c>
      <c r="H193" s="19">
        <v>8</v>
      </c>
      <c r="I193" s="19">
        <v>1031</v>
      </c>
      <c r="J193" s="25">
        <v>0.97284199999999998</v>
      </c>
      <c r="K193" s="26">
        <v>223.99918400000013</v>
      </c>
      <c r="L193" s="26">
        <v>1688</v>
      </c>
      <c r="M193" s="26">
        <v>7</v>
      </c>
      <c r="N193" s="26">
        <v>6</v>
      </c>
      <c r="O193" s="27">
        <v>13</v>
      </c>
      <c r="P193" s="19">
        <v>12</v>
      </c>
      <c r="Q193" s="19">
        <v>1</v>
      </c>
      <c r="R193" s="19" t="s">
        <v>1940</v>
      </c>
      <c r="S193" s="26">
        <v>324.14918399999982</v>
      </c>
      <c r="T193" s="28">
        <v>9</v>
      </c>
      <c r="U193" s="19" t="s">
        <v>1180</v>
      </c>
      <c r="V193" s="19">
        <v>0</v>
      </c>
      <c r="X193" t="b">
        <f>VLOOKUP(B193,'M10B Order'!B:F,5,FALSE)=W193</f>
        <v>1</v>
      </c>
    </row>
    <row r="194" spans="1:24" x14ac:dyDescent="0.2">
      <c r="A194" s="19">
        <v>579058006</v>
      </c>
      <c r="B194" s="19" t="s">
        <v>1395</v>
      </c>
      <c r="C194" s="19" t="s">
        <v>1396</v>
      </c>
      <c r="D194" s="19" t="s">
        <v>370</v>
      </c>
      <c r="E194" s="19" t="s">
        <v>1778</v>
      </c>
      <c r="F194" s="19">
        <v>508804191</v>
      </c>
      <c r="G194" s="19">
        <v>8</v>
      </c>
      <c r="H194" s="19">
        <v>8</v>
      </c>
      <c r="I194" s="19">
        <v>1378</v>
      </c>
      <c r="J194" s="25">
        <v>0.965167</v>
      </c>
      <c r="K194" s="26">
        <v>383.99899200000004</v>
      </c>
      <c r="L194" s="26">
        <v>0</v>
      </c>
      <c r="M194" s="26">
        <v>7</v>
      </c>
      <c r="N194" s="26">
        <v>6</v>
      </c>
      <c r="O194" s="27">
        <v>13</v>
      </c>
      <c r="P194" s="19">
        <v>12</v>
      </c>
      <c r="Q194" s="19">
        <v>1</v>
      </c>
      <c r="R194" s="19" t="s">
        <v>1940</v>
      </c>
      <c r="S194" s="26">
        <v>250.71899200000004</v>
      </c>
      <c r="T194" s="28">
        <v>12</v>
      </c>
      <c r="U194" s="19" t="s">
        <v>838</v>
      </c>
      <c r="V194" s="19">
        <v>0</v>
      </c>
      <c r="X194" t="b">
        <f>VLOOKUP(B194,'M10B Order'!B:F,5,FALSE)=W194</f>
        <v>1</v>
      </c>
    </row>
    <row r="195" spans="1:24" x14ac:dyDescent="0.2">
      <c r="A195" s="19">
        <v>573626610</v>
      </c>
      <c r="B195" s="19" t="s">
        <v>924</v>
      </c>
      <c r="C195" s="19" t="s">
        <v>925</v>
      </c>
      <c r="D195" s="19" t="s">
        <v>370</v>
      </c>
      <c r="E195" s="19" t="s">
        <v>1778</v>
      </c>
      <c r="F195" s="19">
        <v>508804191</v>
      </c>
      <c r="G195" s="19">
        <v>8</v>
      </c>
      <c r="H195" s="19">
        <v>8</v>
      </c>
      <c r="I195" s="19">
        <v>1379</v>
      </c>
      <c r="J195" s="25">
        <v>0.92313299999999998</v>
      </c>
      <c r="K195" s="26">
        <v>847.99674400000026</v>
      </c>
      <c r="L195" s="26">
        <v>136</v>
      </c>
      <c r="M195" s="26">
        <v>7</v>
      </c>
      <c r="N195" s="26">
        <v>6</v>
      </c>
      <c r="O195" s="27">
        <v>13</v>
      </c>
      <c r="P195" s="19">
        <v>12</v>
      </c>
      <c r="Q195" s="19">
        <v>1</v>
      </c>
      <c r="R195" s="19" t="s">
        <v>1940</v>
      </c>
      <c r="S195" s="26">
        <v>190.60674399999988</v>
      </c>
      <c r="T195" s="28">
        <v>13</v>
      </c>
      <c r="U195" s="19" t="s">
        <v>708</v>
      </c>
      <c r="V195" s="19">
        <v>0</v>
      </c>
      <c r="X195" t="b">
        <f>VLOOKUP(B195,'M10B Order'!B:F,5,FALSE)=W195</f>
        <v>1</v>
      </c>
    </row>
    <row r="196" spans="1:24" x14ac:dyDescent="0.2">
      <c r="A196" s="19">
        <v>579058036</v>
      </c>
      <c r="B196" s="19" t="s">
        <v>1455</v>
      </c>
      <c r="C196" s="19" t="s">
        <v>1456</v>
      </c>
      <c r="D196" s="19" t="s">
        <v>370</v>
      </c>
      <c r="E196" s="19" t="s">
        <v>1778</v>
      </c>
      <c r="F196" s="19">
        <v>508804191</v>
      </c>
      <c r="G196" s="19">
        <v>8</v>
      </c>
      <c r="H196" s="19">
        <v>8</v>
      </c>
      <c r="I196" s="19">
        <v>1377</v>
      </c>
      <c r="J196" s="25">
        <v>0.98257099999999997</v>
      </c>
      <c r="K196" s="26">
        <v>191.99786400000031</v>
      </c>
      <c r="L196" s="26">
        <v>2152</v>
      </c>
      <c r="M196" s="26">
        <v>7</v>
      </c>
      <c r="N196" s="26">
        <v>6</v>
      </c>
      <c r="O196" s="27">
        <v>13</v>
      </c>
      <c r="P196" s="19">
        <v>12</v>
      </c>
      <c r="Q196" s="19">
        <v>1</v>
      </c>
      <c r="R196" s="19" t="s">
        <v>1940</v>
      </c>
      <c r="S196" s="26">
        <v>140.7978640000004</v>
      </c>
      <c r="T196" s="28">
        <v>12</v>
      </c>
      <c r="U196" s="19" t="s">
        <v>1206</v>
      </c>
      <c r="V196" s="19">
        <v>0</v>
      </c>
      <c r="X196" t="b">
        <f>VLOOKUP(B196,'M10B Order'!B:F,5,FALSE)=W196</f>
        <v>1</v>
      </c>
    </row>
    <row r="197" spans="1:24" x14ac:dyDescent="0.2">
      <c r="A197" s="19">
        <v>579058034</v>
      </c>
      <c r="B197" s="19" t="s">
        <v>1445</v>
      </c>
      <c r="C197" s="19" t="s">
        <v>1446</v>
      </c>
      <c r="D197" s="19" t="s">
        <v>370</v>
      </c>
      <c r="E197" s="19" t="s">
        <v>1778</v>
      </c>
      <c r="F197" s="19">
        <v>508804191</v>
      </c>
      <c r="G197" s="19">
        <v>8</v>
      </c>
      <c r="H197" s="19">
        <v>8</v>
      </c>
      <c r="I197" s="19">
        <v>1378</v>
      </c>
      <c r="J197" s="25">
        <v>0.94121900000000003</v>
      </c>
      <c r="K197" s="26">
        <v>648.00174399999969</v>
      </c>
      <c r="L197" s="26">
        <v>1000</v>
      </c>
      <c r="M197" s="26">
        <v>7</v>
      </c>
      <c r="N197" s="26">
        <v>6</v>
      </c>
      <c r="O197" s="27">
        <v>13</v>
      </c>
      <c r="P197" s="19">
        <v>12</v>
      </c>
      <c r="Q197" s="19">
        <v>1</v>
      </c>
      <c r="R197" s="19" t="s">
        <v>1940</v>
      </c>
      <c r="S197" s="26">
        <v>69.141743999999292</v>
      </c>
      <c r="T197" s="28">
        <v>13</v>
      </c>
      <c r="U197" s="19" t="s">
        <v>840</v>
      </c>
      <c r="V197" s="19">
        <v>0</v>
      </c>
      <c r="X197" t="b">
        <f>VLOOKUP(B197,'M10B Order'!B:F,5,FALSE)=W197</f>
        <v>1</v>
      </c>
    </row>
    <row r="198" spans="1:24" x14ac:dyDescent="0.2">
      <c r="A198" s="19">
        <v>579058031</v>
      </c>
      <c r="B198" s="19" t="s">
        <v>1433</v>
      </c>
      <c r="C198" s="19" t="s">
        <v>1434</v>
      </c>
      <c r="D198" s="19" t="s">
        <v>370</v>
      </c>
      <c r="E198" s="19" t="s">
        <v>1778</v>
      </c>
      <c r="F198" s="19">
        <v>508804191</v>
      </c>
      <c r="G198" s="19">
        <v>8</v>
      </c>
      <c r="H198" s="19">
        <v>8</v>
      </c>
      <c r="I198" s="19">
        <v>1030</v>
      </c>
      <c r="J198" s="25">
        <v>0.98058299999999998</v>
      </c>
      <c r="K198" s="26">
        <v>159.99608000000015</v>
      </c>
      <c r="L198" s="26">
        <v>0</v>
      </c>
      <c r="M198" s="26">
        <v>7</v>
      </c>
      <c r="N198" s="26">
        <v>6</v>
      </c>
      <c r="O198" s="27">
        <v>13</v>
      </c>
      <c r="P198" s="19">
        <v>12</v>
      </c>
      <c r="Q198" s="19">
        <v>1</v>
      </c>
      <c r="R198" s="19" t="s">
        <v>1940</v>
      </c>
      <c r="S198" s="26">
        <v>52.70999999999998</v>
      </c>
      <c r="T198" s="28">
        <v>13</v>
      </c>
      <c r="U198" s="19" t="s">
        <v>1196</v>
      </c>
      <c r="V198" s="19">
        <v>0</v>
      </c>
      <c r="X198" t="b">
        <f>VLOOKUP(B198,'M10B Order'!B:F,5,FALSE)=W198</f>
        <v>1</v>
      </c>
    </row>
    <row r="199" spans="1:24" x14ac:dyDescent="0.2">
      <c r="A199" s="19">
        <v>568940361</v>
      </c>
      <c r="B199" s="19" t="s">
        <v>1062</v>
      </c>
      <c r="C199" s="19" t="s">
        <v>1059</v>
      </c>
      <c r="D199" s="19" t="s">
        <v>370</v>
      </c>
      <c r="E199" s="19" t="s">
        <v>1778</v>
      </c>
      <c r="F199" s="19">
        <v>508804198</v>
      </c>
      <c r="G199" s="19">
        <v>8</v>
      </c>
      <c r="H199" s="19">
        <v>8</v>
      </c>
      <c r="I199" s="19">
        <v>2031</v>
      </c>
      <c r="J199" s="25">
        <v>0.97685900000000003</v>
      </c>
      <c r="K199" s="26">
        <v>375.99496799999946</v>
      </c>
      <c r="L199" s="26">
        <v>3552</v>
      </c>
      <c r="M199" s="26">
        <v>7</v>
      </c>
      <c r="N199" s="26">
        <v>8</v>
      </c>
      <c r="O199" s="27">
        <v>15</v>
      </c>
      <c r="P199" s="19">
        <v>12</v>
      </c>
      <c r="Q199" s="19">
        <v>1</v>
      </c>
      <c r="R199" s="19" t="s">
        <v>1939</v>
      </c>
      <c r="S199" s="26">
        <v>49.074967999999728</v>
      </c>
      <c r="T199" s="28">
        <v>13</v>
      </c>
      <c r="U199" s="19">
        <v>0</v>
      </c>
      <c r="V199" s="19" t="s">
        <v>431</v>
      </c>
      <c r="X199" t="b">
        <f>VLOOKUP(B199,'M10B Order'!B:F,5,FALSE)=W199</f>
        <v>1</v>
      </c>
    </row>
    <row r="200" spans="1:24" x14ac:dyDescent="0.2">
      <c r="A200" s="19">
        <v>573626637</v>
      </c>
      <c r="B200" s="19" t="s">
        <v>918</v>
      </c>
      <c r="C200" s="19" t="s">
        <v>919</v>
      </c>
      <c r="D200" s="19" t="s">
        <v>370</v>
      </c>
      <c r="E200" s="19" t="s">
        <v>1778</v>
      </c>
      <c r="F200" s="19">
        <v>508804191</v>
      </c>
      <c r="G200" s="19">
        <v>8</v>
      </c>
      <c r="H200" s="19">
        <v>8</v>
      </c>
      <c r="I200" s="19">
        <v>1772</v>
      </c>
      <c r="J200" s="25">
        <v>0.972912</v>
      </c>
      <c r="K200" s="26">
        <v>383.99948800000004</v>
      </c>
      <c r="L200" s="26">
        <v>4456</v>
      </c>
      <c r="M200" s="26">
        <v>7</v>
      </c>
      <c r="N200" s="26">
        <v>6</v>
      </c>
      <c r="O200" s="27">
        <v>13</v>
      </c>
      <c r="P200" s="19">
        <v>12</v>
      </c>
      <c r="Q200" s="19">
        <v>1</v>
      </c>
      <c r="R200" s="19" t="s">
        <v>1940</v>
      </c>
      <c r="S200" s="26">
        <v>44.599487999999752</v>
      </c>
      <c r="T200" s="28">
        <v>13</v>
      </c>
      <c r="U200" s="19" t="s">
        <v>706</v>
      </c>
      <c r="V200" s="19">
        <v>1114.9076869999997</v>
      </c>
      <c r="X200" t="b">
        <f>VLOOKUP(B200,'M10B Order'!B:F,5,FALSE)=W200</f>
        <v>1</v>
      </c>
    </row>
    <row r="201" spans="1:24" x14ac:dyDescent="0.2">
      <c r="A201" s="19">
        <v>587520111</v>
      </c>
      <c r="B201" s="19" t="s">
        <v>1847</v>
      </c>
      <c r="C201" s="19" t="s">
        <v>1848</v>
      </c>
      <c r="D201" s="19" t="s">
        <v>1830</v>
      </c>
      <c r="E201" s="19" t="s">
        <v>1778</v>
      </c>
      <c r="F201" s="19">
        <v>508804191</v>
      </c>
      <c r="G201" s="19">
        <v>8</v>
      </c>
      <c r="H201" s="19">
        <v>8</v>
      </c>
      <c r="I201" s="19">
        <v>3423</v>
      </c>
      <c r="J201" s="25">
        <v>0.98276399999999997</v>
      </c>
      <c r="K201" s="26">
        <v>471.99062400000082</v>
      </c>
      <c r="L201" s="26">
        <v>4696</v>
      </c>
      <c r="M201" s="26">
        <v>7</v>
      </c>
      <c r="N201" s="26">
        <v>6</v>
      </c>
      <c r="O201" s="27">
        <v>13</v>
      </c>
      <c r="P201" s="19">
        <v>12</v>
      </c>
      <c r="Q201" s="19">
        <v>1</v>
      </c>
      <c r="R201" s="19" t="s">
        <v>1940</v>
      </c>
      <c r="S201" s="26">
        <v>1565.5106240000005</v>
      </c>
      <c r="T201" s="28">
        <v>8</v>
      </c>
      <c r="U201" s="19" t="s">
        <v>431</v>
      </c>
      <c r="V201" s="19" t="s">
        <v>431</v>
      </c>
      <c r="X201" t="b">
        <f>VLOOKUP(B201,'M10B Order'!B:F,5,FALSE)=W201</f>
        <v>1</v>
      </c>
    </row>
    <row r="202" spans="1:24" x14ac:dyDescent="0.2">
      <c r="A202" s="19">
        <v>587520130</v>
      </c>
      <c r="B202" s="19" t="s">
        <v>1894</v>
      </c>
      <c r="C202" s="19" t="s">
        <v>1864</v>
      </c>
      <c r="D202" s="19" t="s">
        <v>1830</v>
      </c>
      <c r="E202" s="19" t="s">
        <v>1778</v>
      </c>
      <c r="F202" s="19">
        <v>508804191</v>
      </c>
      <c r="G202" s="19">
        <v>8</v>
      </c>
      <c r="H202" s="19">
        <v>8</v>
      </c>
      <c r="I202" s="19">
        <v>3421</v>
      </c>
      <c r="J202" s="25">
        <v>0.98363100000000003</v>
      </c>
      <c r="K202" s="26">
        <v>447.98679199999907</v>
      </c>
      <c r="L202" s="26">
        <v>5024</v>
      </c>
      <c r="M202" s="26">
        <v>7</v>
      </c>
      <c r="N202" s="26">
        <v>6</v>
      </c>
      <c r="O202" s="27">
        <v>13</v>
      </c>
      <c r="P202" s="19">
        <v>12</v>
      </c>
      <c r="Q202" s="19">
        <v>1</v>
      </c>
      <c r="R202" s="19" t="s">
        <v>1940</v>
      </c>
      <c r="S202" s="26">
        <v>1422.6867919999984</v>
      </c>
      <c r="T202" s="28">
        <v>9</v>
      </c>
      <c r="U202" s="19" t="s">
        <v>431</v>
      </c>
      <c r="V202" s="19" t="s">
        <v>431</v>
      </c>
      <c r="X202" t="b">
        <f>VLOOKUP(B202,'M10B Order'!B:F,5,FALSE)=W202</f>
        <v>1</v>
      </c>
    </row>
    <row r="203" spans="1:24" x14ac:dyDescent="0.2">
      <c r="A203" s="19">
        <v>587520124</v>
      </c>
      <c r="B203" s="19" t="s">
        <v>1872</v>
      </c>
      <c r="C203" s="19" t="s">
        <v>1873</v>
      </c>
      <c r="D203" s="19" t="s">
        <v>1830</v>
      </c>
      <c r="E203" s="19" t="s">
        <v>1778</v>
      </c>
      <c r="F203" s="19">
        <v>508804191</v>
      </c>
      <c r="G203" s="19">
        <v>8</v>
      </c>
      <c r="H203" s="19">
        <v>8</v>
      </c>
      <c r="I203" s="19">
        <v>3208</v>
      </c>
      <c r="J203" s="25">
        <v>0.98285500000000003</v>
      </c>
      <c r="K203" s="26">
        <v>440.00927999999914</v>
      </c>
      <c r="L203" s="26">
        <v>2452</v>
      </c>
      <c r="M203" s="26">
        <v>7</v>
      </c>
      <c r="N203" s="26">
        <v>6</v>
      </c>
      <c r="O203" s="27">
        <v>13</v>
      </c>
      <c r="P203" s="19">
        <v>12</v>
      </c>
      <c r="Q203" s="19">
        <v>1</v>
      </c>
      <c r="R203" s="19" t="s">
        <v>1940</v>
      </c>
      <c r="S203" s="26">
        <v>1381.1292799999987</v>
      </c>
      <c r="T203" s="28">
        <v>9</v>
      </c>
      <c r="U203" s="19" t="s">
        <v>431</v>
      </c>
      <c r="V203" s="19" t="s">
        <v>431</v>
      </c>
      <c r="X203" t="b">
        <f>VLOOKUP(B203,'M10B Order'!B:F,5,FALSE)=W203</f>
        <v>1</v>
      </c>
    </row>
    <row r="204" spans="1:24" x14ac:dyDescent="0.2">
      <c r="A204" s="19">
        <v>587520117</v>
      </c>
      <c r="B204" s="19" t="s">
        <v>1863</v>
      </c>
      <c r="C204" s="19" t="s">
        <v>1864</v>
      </c>
      <c r="D204" s="19" t="s">
        <v>1830</v>
      </c>
      <c r="E204" s="19" t="s">
        <v>1778</v>
      </c>
      <c r="F204" s="19">
        <v>508804191</v>
      </c>
      <c r="G204" s="19">
        <v>8</v>
      </c>
      <c r="H204" s="19">
        <v>8</v>
      </c>
      <c r="I204" s="19">
        <v>2687</v>
      </c>
      <c r="J204" s="25">
        <v>0.97953100000000004</v>
      </c>
      <c r="K204" s="26">
        <v>440.00162399999914</v>
      </c>
      <c r="L204" s="26">
        <v>2560</v>
      </c>
      <c r="M204" s="26">
        <v>7</v>
      </c>
      <c r="N204" s="26">
        <v>6</v>
      </c>
      <c r="O204" s="27">
        <v>13</v>
      </c>
      <c r="P204" s="19">
        <v>12</v>
      </c>
      <c r="Q204" s="19">
        <v>1</v>
      </c>
      <c r="R204" s="19" t="s">
        <v>1940</v>
      </c>
      <c r="S204" s="26">
        <v>1280.8816239999987</v>
      </c>
      <c r="T204" s="28">
        <v>8</v>
      </c>
      <c r="U204" s="19" t="s">
        <v>431</v>
      </c>
      <c r="V204" s="19" t="s">
        <v>431</v>
      </c>
      <c r="X204" t="b">
        <f>VLOOKUP(B204,'M10B Order'!B:F,5,FALSE)=W204</f>
        <v>1</v>
      </c>
    </row>
    <row r="205" spans="1:24" x14ac:dyDescent="0.2">
      <c r="A205" s="19">
        <v>587520114</v>
      </c>
      <c r="B205" s="19" t="s">
        <v>1857</v>
      </c>
      <c r="C205" s="19" t="s">
        <v>1858</v>
      </c>
      <c r="D205" s="19" t="s">
        <v>1830</v>
      </c>
      <c r="E205" s="19" t="s">
        <v>1778</v>
      </c>
      <c r="F205" s="19">
        <v>508804191</v>
      </c>
      <c r="G205" s="19">
        <v>8</v>
      </c>
      <c r="H205" s="19">
        <v>8</v>
      </c>
      <c r="I205" s="19">
        <v>3207</v>
      </c>
      <c r="J205" s="25">
        <v>0.98752700000000004</v>
      </c>
      <c r="K205" s="26">
        <v>320.00728799999888</v>
      </c>
      <c r="L205" s="26">
        <v>3688</v>
      </c>
      <c r="M205" s="26">
        <v>7</v>
      </c>
      <c r="N205" s="26">
        <v>6</v>
      </c>
      <c r="O205" s="27">
        <v>13</v>
      </c>
      <c r="P205" s="19">
        <v>12</v>
      </c>
      <c r="Q205" s="19">
        <v>1</v>
      </c>
      <c r="R205" s="19" t="s">
        <v>1940</v>
      </c>
      <c r="S205" s="26">
        <v>1081.0172879999996</v>
      </c>
      <c r="T205" s="28">
        <v>9</v>
      </c>
      <c r="U205" s="19" t="s">
        <v>431</v>
      </c>
      <c r="V205" s="19" t="s">
        <v>431</v>
      </c>
      <c r="X205" t="b">
        <f>VLOOKUP(B205,'M10B Order'!B:F,5,FALSE)=W205</f>
        <v>1</v>
      </c>
    </row>
    <row r="206" spans="1:24" x14ac:dyDescent="0.2">
      <c r="A206" s="19">
        <v>587520118</v>
      </c>
      <c r="B206" s="19" t="s">
        <v>1859</v>
      </c>
      <c r="C206" s="19" t="s">
        <v>1860</v>
      </c>
      <c r="D206" s="19" t="s">
        <v>1830</v>
      </c>
      <c r="E206" s="19" t="s">
        <v>1778</v>
      </c>
      <c r="F206" s="19">
        <v>508804191</v>
      </c>
      <c r="G206" s="19">
        <v>8</v>
      </c>
      <c r="H206" s="19">
        <v>8</v>
      </c>
      <c r="I206" s="19">
        <v>2191</v>
      </c>
      <c r="J206" s="25">
        <v>0.978549</v>
      </c>
      <c r="K206" s="26">
        <v>375.99312799999996</v>
      </c>
      <c r="L206" s="26">
        <v>2704</v>
      </c>
      <c r="M206" s="26">
        <v>7</v>
      </c>
      <c r="N206" s="26">
        <v>6</v>
      </c>
      <c r="O206" s="27">
        <v>13</v>
      </c>
      <c r="P206" s="19">
        <v>12</v>
      </c>
      <c r="Q206" s="19">
        <v>1</v>
      </c>
      <c r="R206" s="19" t="s">
        <v>1940</v>
      </c>
      <c r="S206" s="26">
        <v>1078.6931280000006</v>
      </c>
      <c r="T206" s="28">
        <v>9</v>
      </c>
      <c r="U206" s="19" t="s">
        <v>431</v>
      </c>
      <c r="V206" s="19" t="s">
        <v>431</v>
      </c>
      <c r="X206" t="b">
        <f>VLOOKUP(B206,'M10B Order'!B:F,5,FALSE)=W206</f>
        <v>1</v>
      </c>
    </row>
    <row r="207" spans="1:24" x14ac:dyDescent="0.2">
      <c r="A207" s="19">
        <v>587520135</v>
      </c>
      <c r="B207" s="19" t="s">
        <v>1899</v>
      </c>
      <c r="C207" s="19" t="s">
        <v>1900</v>
      </c>
      <c r="D207" s="19" t="s">
        <v>1830</v>
      </c>
      <c r="E207" s="19" t="s">
        <v>1778</v>
      </c>
      <c r="F207" s="19">
        <v>508804191</v>
      </c>
      <c r="G207" s="19">
        <v>8</v>
      </c>
      <c r="H207" s="19">
        <v>8</v>
      </c>
      <c r="I207" s="19">
        <v>1247</v>
      </c>
      <c r="J207" s="25">
        <v>0.97594199999999998</v>
      </c>
      <c r="K207" s="26">
        <v>240.00260800000024</v>
      </c>
      <c r="L207" s="26">
        <v>592</v>
      </c>
      <c r="M207" s="26">
        <v>7</v>
      </c>
      <c r="N207" s="26">
        <v>6</v>
      </c>
      <c r="O207" s="27">
        <v>13</v>
      </c>
      <c r="P207" s="19">
        <v>12</v>
      </c>
      <c r="Q207" s="19">
        <v>1</v>
      </c>
      <c r="R207" s="19" t="s">
        <v>1940</v>
      </c>
      <c r="S207" s="26">
        <v>1033.5326080000002</v>
      </c>
      <c r="T207" s="28">
        <v>7</v>
      </c>
      <c r="U207" s="19" t="s">
        <v>431</v>
      </c>
      <c r="V207" s="19" t="s">
        <v>431</v>
      </c>
      <c r="X207" t="b">
        <f>VLOOKUP(B207,'M10B Order'!B:F,5,FALSE)=W207</f>
        <v>1</v>
      </c>
    </row>
    <row r="208" spans="1:24" x14ac:dyDescent="0.2">
      <c r="A208" s="19">
        <v>587520177</v>
      </c>
      <c r="B208" s="19" t="s">
        <v>1833</v>
      </c>
      <c r="C208" s="19" t="s">
        <v>1834</v>
      </c>
      <c r="D208" s="19" t="s">
        <v>1830</v>
      </c>
      <c r="E208" s="19" t="s">
        <v>1778</v>
      </c>
      <c r="F208" s="19">
        <v>508804191</v>
      </c>
      <c r="G208" s="19">
        <v>8</v>
      </c>
      <c r="H208" s="19">
        <v>8</v>
      </c>
      <c r="I208" s="19">
        <v>3422</v>
      </c>
      <c r="J208" s="25">
        <v>0.98042099999999999</v>
      </c>
      <c r="K208" s="26">
        <v>535.99470400000041</v>
      </c>
      <c r="L208" s="26">
        <v>4300</v>
      </c>
      <c r="M208" s="26">
        <v>7</v>
      </c>
      <c r="N208" s="26">
        <v>6</v>
      </c>
      <c r="O208" s="27">
        <v>13</v>
      </c>
      <c r="P208" s="19">
        <v>12</v>
      </c>
      <c r="Q208" s="19">
        <v>1</v>
      </c>
      <c r="R208" s="19" t="s">
        <v>1940</v>
      </c>
      <c r="S208" s="26">
        <v>843.1647039999998</v>
      </c>
      <c r="T208" s="28">
        <v>11</v>
      </c>
      <c r="U208" s="19" t="s">
        <v>431</v>
      </c>
      <c r="V208" s="19" t="s">
        <v>431</v>
      </c>
      <c r="X208" t="b">
        <f>VLOOKUP(B208,'M10B Order'!B:F,5,FALSE)=W208</f>
        <v>1</v>
      </c>
    </row>
    <row r="209" spans="1:24" x14ac:dyDescent="0.2">
      <c r="A209" s="19">
        <v>587520112</v>
      </c>
      <c r="B209" s="19" t="s">
        <v>1851</v>
      </c>
      <c r="C209" s="19" t="s">
        <v>1852</v>
      </c>
      <c r="D209" s="19" t="s">
        <v>1830</v>
      </c>
      <c r="E209" s="19" t="s">
        <v>1778</v>
      </c>
      <c r="F209" s="19">
        <v>508804191</v>
      </c>
      <c r="G209" s="19">
        <v>8</v>
      </c>
      <c r="H209" s="19">
        <v>8</v>
      </c>
      <c r="I209" s="19">
        <v>2047</v>
      </c>
      <c r="J209" s="25">
        <v>0.97410799999999997</v>
      </c>
      <c r="K209" s="26">
        <v>424.00739200000044</v>
      </c>
      <c r="L209" s="26">
        <v>1224</v>
      </c>
      <c r="M209" s="26">
        <v>7</v>
      </c>
      <c r="N209" s="26">
        <v>6</v>
      </c>
      <c r="O209" s="27">
        <v>13</v>
      </c>
      <c r="P209" s="19">
        <v>12</v>
      </c>
      <c r="Q209" s="19">
        <v>1</v>
      </c>
      <c r="R209" s="19" t="s">
        <v>1940</v>
      </c>
      <c r="S209" s="26">
        <v>796.91739200000075</v>
      </c>
      <c r="T209" s="28">
        <v>10</v>
      </c>
      <c r="U209" s="19" t="s">
        <v>431</v>
      </c>
      <c r="V209" s="19" t="s">
        <v>431</v>
      </c>
      <c r="X209" t="b">
        <f>VLOOKUP(B209,'M10B Order'!B:F,5,FALSE)=W209</f>
        <v>1</v>
      </c>
    </row>
    <row r="210" spans="1:24" x14ac:dyDescent="0.2">
      <c r="A210" s="19">
        <v>587520134</v>
      </c>
      <c r="B210" s="19" t="s">
        <v>1897</v>
      </c>
      <c r="C210" s="19" t="s">
        <v>1898</v>
      </c>
      <c r="D210" s="19" t="s">
        <v>1830</v>
      </c>
      <c r="E210" s="19" t="s">
        <v>1778</v>
      </c>
      <c r="F210" s="19">
        <v>508804191</v>
      </c>
      <c r="G210" s="19">
        <v>8</v>
      </c>
      <c r="H210" s="19">
        <v>8</v>
      </c>
      <c r="I210" s="19">
        <v>1641</v>
      </c>
      <c r="J210" s="25">
        <v>0.98293699999999995</v>
      </c>
      <c r="K210" s="26">
        <v>224.00306400000065</v>
      </c>
      <c r="L210" s="26">
        <v>2136</v>
      </c>
      <c r="M210" s="26">
        <v>7</v>
      </c>
      <c r="N210" s="26">
        <v>6</v>
      </c>
      <c r="O210" s="27">
        <v>13</v>
      </c>
      <c r="P210" s="19">
        <v>12</v>
      </c>
      <c r="Q210" s="19">
        <v>1</v>
      </c>
      <c r="R210" s="19" t="s">
        <v>1940</v>
      </c>
      <c r="S210" s="26">
        <v>745.40306400000054</v>
      </c>
      <c r="T210" s="28">
        <v>7</v>
      </c>
      <c r="U210" s="19" t="s">
        <v>431</v>
      </c>
      <c r="V210" s="19" t="s">
        <v>431</v>
      </c>
      <c r="X210" t="b">
        <f>VLOOKUP(B210,'M10B Order'!B:F,5,FALSE)=W210</f>
        <v>1</v>
      </c>
    </row>
    <row r="211" spans="1:24" x14ac:dyDescent="0.2">
      <c r="A211" s="19">
        <v>587520110</v>
      </c>
      <c r="B211" s="19" t="s">
        <v>1841</v>
      </c>
      <c r="C211" s="19" t="s">
        <v>1842</v>
      </c>
      <c r="D211" s="19" t="s">
        <v>1830</v>
      </c>
      <c r="E211" s="19" t="s">
        <v>1778</v>
      </c>
      <c r="F211" s="19">
        <v>508804191</v>
      </c>
      <c r="G211" s="19">
        <v>8</v>
      </c>
      <c r="H211" s="19">
        <v>8</v>
      </c>
      <c r="I211" s="19">
        <v>2832</v>
      </c>
      <c r="J211" s="25">
        <v>0.975989</v>
      </c>
      <c r="K211" s="26">
        <v>543.99321600000007</v>
      </c>
      <c r="L211" s="26">
        <v>2216</v>
      </c>
      <c r="M211" s="26">
        <v>7</v>
      </c>
      <c r="N211" s="26">
        <v>6</v>
      </c>
      <c r="O211" s="27">
        <v>13</v>
      </c>
      <c r="P211" s="19">
        <v>12</v>
      </c>
      <c r="Q211" s="19">
        <v>1</v>
      </c>
      <c r="R211" s="19" t="s">
        <v>1940</v>
      </c>
      <c r="S211" s="26">
        <v>716.58321599999999</v>
      </c>
      <c r="T211" s="28">
        <v>11</v>
      </c>
      <c r="U211" s="19" t="s">
        <v>431</v>
      </c>
      <c r="V211" s="19" t="s">
        <v>431</v>
      </c>
      <c r="X211" t="b">
        <f>VLOOKUP(B211,'M10B Order'!B:F,5,FALSE)=W211</f>
        <v>1</v>
      </c>
    </row>
    <row r="212" spans="1:24" x14ac:dyDescent="0.2">
      <c r="A212" s="19">
        <v>587520132</v>
      </c>
      <c r="B212" s="19" t="s">
        <v>1880</v>
      </c>
      <c r="C212" s="19" t="s">
        <v>1852</v>
      </c>
      <c r="D212" s="19" t="s">
        <v>1830</v>
      </c>
      <c r="E212" s="19" t="s">
        <v>1778</v>
      </c>
      <c r="F212" s="19">
        <v>508804191</v>
      </c>
      <c r="G212" s="19">
        <v>8</v>
      </c>
      <c r="H212" s="19">
        <v>8</v>
      </c>
      <c r="I212" s="19">
        <v>2833</v>
      </c>
      <c r="J212" s="25">
        <v>0.98623400000000006</v>
      </c>
      <c r="K212" s="26">
        <v>311.99262399999873</v>
      </c>
      <c r="L212" s="26">
        <v>4072</v>
      </c>
      <c r="M212" s="26">
        <v>7</v>
      </c>
      <c r="N212" s="26">
        <v>6</v>
      </c>
      <c r="O212" s="27">
        <v>13</v>
      </c>
      <c r="P212" s="19">
        <v>12</v>
      </c>
      <c r="Q212" s="19">
        <v>1</v>
      </c>
      <c r="R212" s="19" t="s">
        <v>1940</v>
      </c>
      <c r="S212" s="26">
        <v>600.93262399999912</v>
      </c>
      <c r="T212" s="28">
        <v>11</v>
      </c>
      <c r="U212" s="19" t="s">
        <v>431</v>
      </c>
      <c r="V212" s="19" t="s">
        <v>431</v>
      </c>
      <c r="X212" t="b">
        <f>VLOOKUP(B212,'M10B Order'!B:F,5,FALSE)=W212</f>
        <v>1</v>
      </c>
    </row>
    <row r="213" spans="1:24" x14ac:dyDescent="0.2">
      <c r="A213" s="19">
        <v>587520115</v>
      </c>
      <c r="B213" s="19" t="s">
        <v>1828</v>
      </c>
      <c r="C213" s="19" t="s">
        <v>1829</v>
      </c>
      <c r="D213" s="19" t="s">
        <v>1830</v>
      </c>
      <c r="E213" s="19" t="s">
        <v>1778</v>
      </c>
      <c r="F213" s="19">
        <v>508804191</v>
      </c>
      <c r="G213" s="19">
        <v>8</v>
      </c>
      <c r="H213" s="19">
        <v>8</v>
      </c>
      <c r="I213" s="19">
        <v>606</v>
      </c>
      <c r="J213" s="25">
        <v>0.966997</v>
      </c>
      <c r="K213" s="26">
        <v>159.99854400000001</v>
      </c>
      <c r="L213" s="26">
        <v>1196</v>
      </c>
      <c r="M213" s="26">
        <v>7</v>
      </c>
      <c r="N213" s="26">
        <v>6</v>
      </c>
      <c r="O213" s="27">
        <v>13</v>
      </c>
      <c r="P213" s="19">
        <v>12</v>
      </c>
      <c r="Q213" s="19">
        <v>1</v>
      </c>
      <c r="R213" s="19" t="s">
        <v>1940</v>
      </c>
      <c r="S213" s="26">
        <v>541.56854400000009</v>
      </c>
      <c r="T213" s="28">
        <v>6</v>
      </c>
      <c r="U213" s="19" t="s">
        <v>431</v>
      </c>
      <c r="V213" s="19" t="s">
        <v>431</v>
      </c>
      <c r="X213" t="b">
        <f>VLOOKUP(B213,'M10B Order'!B:F,5,FALSE)=W213</f>
        <v>1</v>
      </c>
    </row>
    <row r="214" spans="1:24" x14ac:dyDescent="0.2">
      <c r="A214" s="19">
        <v>587520176</v>
      </c>
      <c r="B214" s="19" t="s">
        <v>1839</v>
      </c>
      <c r="C214" s="19" t="s">
        <v>1840</v>
      </c>
      <c r="D214" s="19" t="s">
        <v>1830</v>
      </c>
      <c r="E214" s="19" t="s">
        <v>1778</v>
      </c>
      <c r="F214" s="19">
        <v>508804191</v>
      </c>
      <c r="G214" s="19">
        <v>8</v>
      </c>
      <c r="H214" s="19">
        <v>8</v>
      </c>
      <c r="I214" s="19">
        <v>2688</v>
      </c>
      <c r="J214" s="25">
        <v>0.98400299999999996</v>
      </c>
      <c r="K214" s="26">
        <v>343.99948800000084</v>
      </c>
      <c r="L214" s="26">
        <v>2424</v>
      </c>
      <c r="M214" s="26">
        <v>7</v>
      </c>
      <c r="N214" s="26">
        <v>6</v>
      </c>
      <c r="O214" s="27">
        <v>13</v>
      </c>
      <c r="P214" s="19">
        <v>12</v>
      </c>
      <c r="Q214" s="19">
        <v>1</v>
      </c>
      <c r="R214" s="19" t="s">
        <v>1940</v>
      </c>
      <c r="S214" s="26">
        <v>529.40948800000092</v>
      </c>
      <c r="T214" s="28">
        <v>11</v>
      </c>
      <c r="U214" s="19" t="s">
        <v>431</v>
      </c>
      <c r="V214" s="19" t="s">
        <v>431</v>
      </c>
      <c r="X214" t="b">
        <f>VLOOKUP(B214,'M10B Order'!B:F,5,FALSE)=W214</f>
        <v>1</v>
      </c>
    </row>
    <row r="215" spans="1:24" x14ac:dyDescent="0.2">
      <c r="A215" s="19">
        <v>587520127</v>
      </c>
      <c r="B215" s="19" t="s">
        <v>1882</v>
      </c>
      <c r="C215" s="19" t="s">
        <v>1883</v>
      </c>
      <c r="D215" s="19" t="s">
        <v>1830</v>
      </c>
      <c r="E215" s="19" t="s">
        <v>1778</v>
      </c>
      <c r="F215" s="19">
        <v>508804191</v>
      </c>
      <c r="G215" s="19">
        <v>8</v>
      </c>
      <c r="H215" s="19">
        <v>8</v>
      </c>
      <c r="I215" s="19">
        <v>1247</v>
      </c>
      <c r="J215" s="25">
        <v>0.97995200000000005</v>
      </c>
      <c r="K215" s="26">
        <v>199.99884799999955</v>
      </c>
      <c r="L215" s="26">
        <v>232</v>
      </c>
      <c r="M215" s="26">
        <v>7</v>
      </c>
      <c r="N215" s="26">
        <v>6</v>
      </c>
      <c r="O215" s="27">
        <v>13</v>
      </c>
      <c r="P215" s="19">
        <v>12</v>
      </c>
      <c r="Q215" s="19">
        <v>1</v>
      </c>
      <c r="R215" s="19" t="s">
        <v>1940</v>
      </c>
      <c r="S215" s="26">
        <v>519.05884799999944</v>
      </c>
      <c r="T215" s="28">
        <v>9</v>
      </c>
      <c r="U215" s="19" t="s">
        <v>1804</v>
      </c>
      <c r="V215" s="19">
        <v>0</v>
      </c>
      <c r="X215" t="b">
        <f>VLOOKUP(B215,'M10B Order'!B:F,5,FALSE)=W215</f>
        <v>1</v>
      </c>
    </row>
    <row r="216" spans="1:24" x14ac:dyDescent="0.2">
      <c r="A216" s="19">
        <v>587520125</v>
      </c>
      <c r="B216" s="19" t="s">
        <v>1876</v>
      </c>
      <c r="C216" s="19" t="s">
        <v>1877</v>
      </c>
      <c r="D216" s="19" t="s">
        <v>1830</v>
      </c>
      <c r="E216" s="19" t="s">
        <v>1778</v>
      </c>
      <c r="F216" s="19">
        <v>508804191</v>
      </c>
      <c r="G216" s="19">
        <v>8</v>
      </c>
      <c r="H216" s="19">
        <v>8</v>
      </c>
      <c r="I216" s="19">
        <v>2832</v>
      </c>
      <c r="J216" s="25">
        <v>0.975989</v>
      </c>
      <c r="K216" s="26">
        <v>543.99321600000007</v>
      </c>
      <c r="L216" s="26">
        <v>3632</v>
      </c>
      <c r="M216" s="26">
        <v>7</v>
      </c>
      <c r="N216" s="26">
        <v>6</v>
      </c>
      <c r="O216" s="27">
        <v>13</v>
      </c>
      <c r="P216" s="19">
        <v>12</v>
      </c>
      <c r="Q216" s="19">
        <v>1</v>
      </c>
      <c r="R216" s="19" t="s">
        <v>1940</v>
      </c>
      <c r="S216" s="26">
        <v>507.68321600000007</v>
      </c>
      <c r="T216" s="28">
        <v>12</v>
      </c>
      <c r="U216" s="19" t="s">
        <v>431</v>
      </c>
      <c r="V216" s="19" t="s">
        <v>431</v>
      </c>
      <c r="X216" t="b">
        <f>VLOOKUP(B216,'M10B Order'!B:F,5,FALSE)=W216</f>
        <v>1</v>
      </c>
    </row>
    <row r="217" spans="1:24" x14ac:dyDescent="0.2">
      <c r="A217" s="19">
        <v>587520238</v>
      </c>
      <c r="B217" s="19" t="s">
        <v>1870</v>
      </c>
      <c r="C217" s="19" t="s">
        <v>1871</v>
      </c>
      <c r="D217" s="19" t="s">
        <v>1830</v>
      </c>
      <c r="E217" s="19" t="s">
        <v>1778</v>
      </c>
      <c r="F217" s="19">
        <v>508804191</v>
      </c>
      <c r="G217" s="19">
        <v>8</v>
      </c>
      <c r="H217" s="19">
        <v>8</v>
      </c>
      <c r="I217" s="19">
        <v>3421</v>
      </c>
      <c r="J217" s="25">
        <v>0.98363100000000003</v>
      </c>
      <c r="K217" s="26">
        <v>447.98679199999907</v>
      </c>
      <c r="L217" s="26">
        <v>3687</v>
      </c>
      <c r="M217" s="26">
        <v>7</v>
      </c>
      <c r="N217" s="26">
        <v>6</v>
      </c>
      <c r="O217" s="27">
        <v>13</v>
      </c>
      <c r="P217" s="19">
        <v>12</v>
      </c>
      <c r="Q217" s="19">
        <v>1</v>
      </c>
      <c r="R217" s="19" t="s">
        <v>1940</v>
      </c>
      <c r="S217" s="26">
        <v>475.23679199999907</v>
      </c>
      <c r="T217" s="28">
        <v>12</v>
      </c>
      <c r="U217" s="19" t="s">
        <v>431</v>
      </c>
      <c r="V217" s="19" t="s">
        <v>431</v>
      </c>
      <c r="X217" t="b">
        <f>VLOOKUP(B217,'M10B Order'!B:F,5,FALSE)=W217</f>
        <v>1</v>
      </c>
    </row>
    <row r="218" spans="1:24" x14ac:dyDescent="0.2">
      <c r="A218" s="19">
        <v>587520106</v>
      </c>
      <c r="B218" s="19" t="s">
        <v>1837</v>
      </c>
      <c r="C218" s="19" t="s">
        <v>1838</v>
      </c>
      <c r="D218" s="19" t="s">
        <v>1830</v>
      </c>
      <c r="E218" s="19" t="s">
        <v>1778</v>
      </c>
      <c r="F218" s="19">
        <v>508804191</v>
      </c>
      <c r="G218" s="19">
        <v>8</v>
      </c>
      <c r="H218" s="19">
        <v>8</v>
      </c>
      <c r="I218" s="19">
        <v>2833</v>
      </c>
      <c r="J218" s="25">
        <v>0.96682000000000001</v>
      </c>
      <c r="K218" s="26">
        <v>751.9915199999997</v>
      </c>
      <c r="L218" s="26">
        <v>2056</v>
      </c>
      <c r="M218" s="26">
        <v>7</v>
      </c>
      <c r="N218" s="26">
        <v>6</v>
      </c>
      <c r="O218" s="27">
        <v>13</v>
      </c>
      <c r="P218" s="19">
        <v>12</v>
      </c>
      <c r="Q218" s="19">
        <v>1</v>
      </c>
      <c r="R218" s="19" t="s">
        <v>1940</v>
      </c>
      <c r="S218" s="26">
        <v>375.99151999999987</v>
      </c>
      <c r="T218" s="28">
        <v>12</v>
      </c>
      <c r="U218" s="19" t="s">
        <v>431</v>
      </c>
      <c r="V218" s="19" t="s">
        <v>431</v>
      </c>
      <c r="X218" t="b">
        <f>VLOOKUP(B218,'M10B Order'!B:F,5,FALSE)=W218</f>
        <v>1</v>
      </c>
    </row>
    <row r="219" spans="1:24" x14ac:dyDescent="0.2">
      <c r="A219" s="19">
        <v>587520109</v>
      </c>
      <c r="B219" s="19" t="s">
        <v>1843</v>
      </c>
      <c r="C219" s="19" t="s">
        <v>1844</v>
      </c>
      <c r="D219" s="19" t="s">
        <v>1830</v>
      </c>
      <c r="E219" s="19" t="s">
        <v>1778</v>
      </c>
      <c r="F219" s="19">
        <v>508804191</v>
      </c>
      <c r="G219" s="19">
        <v>8</v>
      </c>
      <c r="H219" s="19">
        <v>8</v>
      </c>
      <c r="I219" s="19">
        <v>607</v>
      </c>
      <c r="J219" s="25">
        <v>0.95387100000000002</v>
      </c>
      <c r="K219" s="26">
        <v>224.00242399999988</v>
      </c>
      <c r="L219" s="26">
        <v>1368</v>
      </c>
      <c r="M219" s="26">
        <v>7</v>
      </c>
      <c r="N219" s="26">
        <v>6</v>
      </c>
      <c r="O219" s="27">
        <v>13</v>
      </c>
      <c r="P219" s="19">
        <v>12</v>
      </c>
      <c r="Q219" s="19">
        <v>1</v>
      </c>
      <c r="R219" s="19" t="s">
        <v>1940</v>
      </c>
      <c r="S219" s="26">
        <v>285.30242399999969</v>
      </c>
      <c r="T219" s="28">
        <v>9</v>
      </c>
      <c r="U219" s="19" t="s">
        <v>431</v>
      </c>
      <c r="V219" s="19" t="s">
        <v>431</v>
      </c>
      <c r="X219" t="b">
        <f>VLOOKUP(B219,'M10B Order'!B:F,5,FALSE)=W219</f>
        <v>1</v>
      </c>
    </row>
    <row r="220" spans="1:24" x14ac:dyDescent="0.2">
      <c r="A220" s="19">
        <v>587520174</v>
      </c>
      <c r="B220" s="19" t="s">
        <v>1835</v>
      </c>
      <c r="C220" s="19" t="s">
        <v>1836</v>
      </c>
      <c r="D220" s="19" t="s">
        <v>1830</v>
      </c>
      <c r="E220" s="19" t="s">
        <v>1778</v>
      </c>
      <c r="F220" s="19">
        <v>508804191</v>
      </c>
      <c r="G220" s="19">
        <v>8</v>
      </c>
      <c r="H220" s="19">
        <v>8</v>
      </c>
      <c r="I220" s="19">
        <v>2486</v>
      </c>
      <c r="J220" s="25">
        <v>0.98350800000000005</v>
      </c>
      <c r="K220" s="26">
        <v>327.99289599999901</v>
      </c>
      <c r="L220" s="26">
        <v>2416</v>
      </c>
      <c r="M220" s="26">
        <v>7</v>
      </c>
      <c r="N220" s="26">
        <v>6</v>
      </c>
      <c r="O220" s="27">
        <v>13</v>
      </c>
      <c r="P220" s="19">
        <v>12</v>
      </c>
      <c r="Q220" s="19">
        <v>1</v>
      </c>
      <c r="R220" s="19" t="s">
        <v>1940</v>
      </c>
      <c r="S220" s="26">
        <v>247.08289599999861</v>
      </c>
      <c r="T220" s="28">
        <v>12</v>
      </c>
      <c r="U220" s="19" t="s">
        <v>431</v>
      </c>
      <c r="V220" s="19" t="s">
        <v>431</v>
      </c>
      <c r="X220" t="b">
        <f>VLOOKUP(B220,'M10B Order'!B:F,5,FALSE)=W220</f>
        <v>1</v>
      </c>
    </row>
    <row r="221" spans="1:24" x14ac:dyDescent="0.2">
      <c r="A221" s="19">
        <v>587520138</v>
      </c>
      <c r="B221" s="19" t="s">
        <v>1892</v>
      </c>
      <c r="C221" s="19" t="s">
        <v>1893</v>
      </c>
      <c r="D221" s="19" t="s">
        <v>1830</v>
      </c>
      <c r="E221" s="19" t="s">
        <v>1778</v>
      </c>
      <c r="F221" s="19">
        <v>508804191</v>
      </c>
      <c r="G221" s="19">
        <v>8</v>
      </c>
      <c r="H221" s="19">
        <v>8</v>
      </c>
      <c r="I221" s="19">
        <v>1393</v>
      </c>
      <c r="J221" s="25">
        <v>0.97415600000000002</v>
      </c>
      <c r="K221" s="26">
        <v>288.00553599999978</v>
      </c>
      <c r="L221" s="26">
        <v>1152</v>
      </c>
      <c r="M221" s="26">
        <v>7</v>
      </c>
      <c r="N221" s="26">
        <v>6</v>
      </c>
      <c r="O221" s="27">
        <v>13</v>
      </c>
      <c r="P221" s="19">
        <v>12</v>
      </c>
      <c r="Q221" s="19">
        <v>1</v>
      </c>
      <c r="R221" s="19" t="s">
        <v>1940</v>
      </c>
      <c r="S221" s="26">
        <v>229.86553599999985</v>
      </c>
      <c r="T221" s="28">
        <v>12</v>
      </c>
      <c r="U221" s="19" t="s">
        <v>431</v>
      </c>
      <c r="V221" s="19" t="s">
        <v>431</v>
      </c>
      <c r="X221" t="b">
        <f>VLOOKUP(B221,'M10B Order'!B:F,5,FALSE)=W221</f>
        <v>1</v>
      </c>
    </row>
    <row r="222" spans="1:24" x14ac:dyDescent="0.2">
      <c r="A222" s="19">
        <v>587520126</v>
      </c>
      <c r="B222" s="19" t="s">
        <v>1881</v>
      </c>
      <c r="C222" s="19" t="s">
        <v>1852</v>
      </c>
      <c r="D222" s="19" t="s">
        <v>1830</v>
      </c>
      <c r="E222" s="19" t="s">
        <v>1778</v>
      </c>
      <c r="F222" s="19">
        <v>508804191</v>
      </c>
      <c r="G222" s="19">
        <v>8</v>
      </c>
      <c r="H222" s="19">
        <v>8</v>
      </c>
      <c r="I222" s="19">
        <v>2833</v>
      </c>
      <c r="J222" s="25">
        <v>0.98270400000000002</v>
      </c>
      <c r="K222" s="26">
        <v>391.99654399999952</v>
      </c>
      <c r="L222" s="26">
        <v>3016</v>
      </c>
      <c r="M222" s="26">
        <v>7</v>
      </c>
      <c r="N222" s="26">
        <v>6</v>
      </c>
      <c r="O222" s="27">
        <v>13</v>
      </c>
      <c r="P222" s="19">
        <v>12</v>
      </c>
      <c r="Q222" s="19">
        <v>1</v>
      </c>
      <c r="R222" s="19" t="s">
        <v>1940</v>
      </c>
      <c r="S222" s="26">
        <v>188.77654399999892</v>
      </c>
      <c r="T222" s="28">
        <v>13</v>
      </c>
      <c r="U222" s="19" t="s">
        <v>431</v>
      </c>
      <c r="V222" s="19" t="s">
        <v>431</v>
      </c>
      <c r="X222" t="b">
        <f>VLOOKUP(B222,'M10B Order'!B:F,5,FALSE)=W222</f>
        <v>1</v>
      </c>
    </row>
    <row r="223" spans="1:24" x14ac:dyDescent="0.2">
      <c r="A223" s="19">
        <v>587520152</v>
      </c>
      <c r="B223" s="19" t="s">
        <v>1925</v>
      </c>
      <c r="C223" s="19" t="s">
        <v>1926</v>
      </c>
      <c r="D223" s="19" t="s">
        <v>1830</v>
      </c>
      <c r="E223" s="19" t="s">
        <v>1778</v>
      </c>
      <c r="F223" s="19">
        <v>508804191</v>
      </c>
      <c r="G223" s="19">
        <v>8</v>
      </c>
      <c r="H223" s="19">
        <v>8</v>
      </c>
      <c r="I223" s="19">
        <v>1247</v>
      </c>
      <c r="J223" s="25">
        <v>0.97433800000000004</v>
      </c>
      <c r="K223" s="26">
        <v>256.00411199999962</v>
      </c>
      <c r="L223" s="26">
        <v>800</v>
      </c>
      <c r="M223" s="26">
        <v>7</v>
      </c>
      <c r="N223" s="26">
        <v>6</v>
      </c>
      <c r="O223" s="27">
        <v>13</v>
      </c>
      <c r="P223" s="19">
        <v>12</v>
      </c>
      <c r="Q223" s="19">
        <v>1</v>
      </c>
      <c r="R223" s="19" t="s">
        <v>1940</v>
      </c>
      <c r="S223" s="26">
        <v>141.97411199999942</v>
      </c>
      <c r="T223" s="28">
        <v>12</v>
      </c>
      <c r="U223" s="19" t="s">
        <v>431</v>
      </c>
      <c r="V223" s="19" t="s">
        <v>431</v>
      </c>
      <c r="X223" t="b">
        <f>VLOOKUP(B223,'M10B Order'!B:F,5,FALSE)=W223</f>
        <v>1</v>
      </c>
    </row>
    <row r="224" spans="1:24" x14ac:dyDescent="0.2">
      <c r="A224" s="19">
        <v>587520104</v>
      </c>
      <c r="B224" s="19" t="s">
        <v>1831</v>
      </c>
      <c r="C224" s="19" t="s">
        <v>1832</v>
      </c>
      <c r="D224" s="19" t="s">
        <v>1830</v>
      </c>
      <c r="E224" s="19" t="s">
        <v>1778</v>
      </c>
      <c r="F224" s="19">
        <v>508804191</v>
      </c>
      <c r="G224" s="19">
        <v>8</v>
      </c>
      <c r="H224" s="19">
        <v>8</v>
      </c>
      <c r="I224" s="19">
        <v>607</v>
      </c>
      <c r="J224" s="25">
        <v>0.95881400000000006</v>
      </c>
      <c r="K224" s="26">
        <v>199.99921599999973</v>
      </c>
      <c r="L224" s="26">
        <v>920</v>
      </c>
      <c r="M224" s="26">
        <v>7</v>
      </c>
      <c r="N224" s="26">
        <v>6</v>
      </c>
      <c r="O224" s="27">
        <v>13</v>
      </c>
      <c r="P224" s="19">
        <v>12</v>
      </c>
      <c r="Q224" s="19">
        <v>1</v>
      </c>
      <c r="R224" s="19" t="s">
        <v>1940</v>
      </c>
      <c r="S224" s="26">
        <v>107.81921600000013</v>
      </c>
      <c r="T224" s="28">
        <v>12</v>
      </c>
      <c r="U224" s="19" t="s">
        <v>1786</v>
      </c>
      <c r="V224" s="19">
        <v>443.10999999999979</v>
      </c>
      <c r="X224" t="b">
        <f>VLOOKUP(B224,'M10B Order'!B:F,5,FALSE)=W224</f>
        <v>1</v>
      </c>
    </row>
    <row r="225" spans="1:24" x14ac:dyDescent="0.2">
      <c r="A225" s="19">
        <v>587520113</v>
      </c>
      <c r="B225" s="19" t="s">
        <v>1855</v>
      </c>
      <c r="C225" s="19" t="s">
        <v>1856</v>
      </c>
      <c r="D225" s="19" t="s">
        <v>1830</v>
      </c>
      <c r="E225" s="19" t="s">
        <v>1778</v>
      </c>
      <c r="F225" s="19">
        <v>508804191</v>
      </c>
      <c r="G225" s="19">
        <v>8</v>
      </c>
      <c r="H225" s="19">
        <v>8</v>
      </c>
      <c r="I225" s="19">
        <v>1247</v>
      </c>
      <c r="J225" s="25">
        <v>0.953488</v>
      </c>
      <c r="K225" s="26">
        <v>464.00371199999995</v>
      </c>
      <c r="L225" s="26">
        <v>0</v>
      </c>
      <c r="M225" s="26">
        <v>7</v>
      </c>
      <c r="N225" s="26">
        <v>6</v>
      </c>
      <c r="O225" s="27">
        <v>13</v>
      </c>
      <c r="P225" s="19">
        <v>12</v>
      </c>
      <c r="Q225" s="19">
        <v>1</v>
      </c>
      <c r="R225" s="19" t="s">
        <v>1940</v>
      </c>
      <c r="S225" s="26">
        <v>107.50371200000043</v>
      </c>
      <c r="T225" s="28">
        <v>13</v>
      </c>
      <c r="U225" s="19" t="s">
        <v>1798</v>
      </c>
      <c r="V225" s="19">
        <v>42.884352000001286</v>
      </c>
      <c r="X225" t="b">
        <f>VLOOKUP(B225,'M10B Order'!B:F,5,FALSE)=W225</f>
        <v>1</v>
      </c>
    </row>
    <row r="226" spans="1:24" x14ac:dyDescent="0.2">
      <c r="A226" s="19">
        <v>587520133</v>
      </c>
      <c r="B226" s="19" t="s">
        <v>1888</v>
      </c>
      <c r="C226" s="19" t="s">
        <v>1889</v>
      </c>
      <c r="D226" s="19" t="s">
        <v>1830</v>
      </c>
      <c r="E226" s="19" t="s">
        <v>1778</v>
      </c>
      <c r="F226" s="19">
        <v>508804191</v>
      </c>
      <c r="G226" s="19">
        <v>8</v>
      </c>
      <c r="H226" s="19">
        <v>8</v>
      </c>
      <c r="I226" s="19">
        <v>471</v>
      </c>
      <c r="J226" s="25">
        <v>0.96390699999999996</v>
      </c>
      <c r="K226" s="26">
        <v>135.99842400000017</v>
      </c>
      <c r="L226" s="26">
        <v>927</v>
      </c>
      <c r="M226" s="26">
        <v>7</v>
      </c>
      <c r="N226" s="26">
        <v>6</v>
      </c>
      <c r="O226" s="27">
        <v>13</v>
      </c>
      <c r="P226" s="19">
        <v>12</v>
      </c>
      <c r="Q226" s="19">
        <v>1</v>
      </c>
      <c r="R226" s="19" t="s">
        <v>1940</v>
      </c>
      <c r="S226" s="26">
        <v>99.188424000000168</v>
      </c>
      <c r="T226" s="28">
        <v>11</v>
      </c>
      <c r="U226" s="19" t="s">
        <v>1821</v>
      </c>
      <c r="V226" s="19">
        <v>221.21797600000008</v>
      </c>
      <c r="X226" t="b">
        <f>VLOOKUP(B226,'M10B Order'!B:F,5,FALSE)=W226</f>
        <v>1</v>
      </c>
    </row>
    <row r="227" spans="1:24" x14ac:dyDescent="0.2">
      <c r="A227" s="19">
        <v>587520116</v>
      </c>
      <c r="B227" s="19" t="s">
        <v>1865</v>
      </c>
      <c r="C227" s="19" t="s">
        <v>1866</v>
      </c>
      <c r="D227" s="19" t="s">
        <v>1830</v>
      </c>
      <c r="E227" s="19" t="s">
        <v>1778</v>
      </c>
      <c r="F227" s="19">
        <v>508804191</v>
      </c>
      <c r="G227" s="19">
        <v>8</v>
      </c>
      <c r="H227" s="19">
        <v>8</v>
      </c>
      <c r="I227" s="19">
        <v>606</v>
      </c>
      <c r="J227" s="25">
        <v>0.96534699999999996</v>
      </c>
      <c r="K227" s="26">
        <v>167.99774400000021</v>
      </c>
      <c r="L227" s="26">
        <v>1232</v>
      </c>
      <c r="M227" s="26">
        <v>7</v>
      </c>
      <c r="N227" s="26">
        <v>6</v>
      </c>
      <c r="O227" s="27">
        <v>13</v>
      </c>
      <c r="P227" s="19">
        <v>12</v>
      </c>
      <c r="Q227" s="19">
        <v>1</v>
      </c>
      <c r="R227" s="19" t="s">
        <v>1940</v>
      </c>
      <c r="S227" s="26">
        <v>94.937744000000194</v>
      </c>
      <c r="T227" s="28">
        <v>12</v>
      </c>
      <c r="U227" s="19" t="s">
        <v>431</v>
      </c>
      <c r="V227" s="19" t="s">
        <v>431</v>
      </c>
      <c r="X227" t="b">
        <f>VLOOKUP(B227,'M10B Order'!B:F,5,FALSE)=W227</f>
        <v>1</v>
      </c>
    </row>
    <row r="228" spans="1:24" x14ac:dyDescent="0.2">
      <c r="A228" s="19">
        <v>587520241</v>
      </c>
      <c r="B228" s="19" t="s">
        <v>1921</v>
      </c>
      <c r="C228" s="19" t="s">
        <v>1922</v>
      </c>
      <c r="D228" s="19" t="s">
        <v>1830</v>
      </c>
      <c r="E228" s="19" t="s">
        <v>1778</v>
      </c>
      <c r="F228" s="19">
        <v>508804191</v>
      </c>
      <c r="G228" s="19">
        <v>8</v>
      </c>
      <c r="H228" s="19">
        <v>8</v>
      </c>
      <c r="I228" s="19">
        <v>99</v>
      </c>
      <c r="J228" s="25">
        <v>0.83838400000000002</v>
      </c>
      <c r="K228" s="26">
        <v>127.99987199999998</v>
      </c>
      <c r="L228" s="26">
        <v>320</v>
      </c>
      <c r="M228" s="26">
        <v>7</v>
      </c>
      <c r="N228" s="26">
        <v>6</v>
      </c>
      <c r="O228" s="27">
        <v>13</v>
      </c>
      <c r="P228" s="19">
        <v>12</v>
      </c>
      <c r="Q228" s="19">
        <v>1</v>
      </c>
      <c r="R228" s="19" t="s">
        <v>1940</v>
      </c>
      <c r="S228" s="26">
        <v>17.939871999999973</v>
      </c>
      <c r="T228" s="28">
        <v>12</v>
      </c>
      <c r="U228" s="19" t="s">
        <v>431</v>
      </c>
      <c r="V228" s="19" t="s">
        <v>431</v>
      </c>
      <c r="X228" t="b">
        <f>VLOOKUP(B228,'M10B Order'!B:F,5,FALSE)=W228</f>
        <v>1</v>
      </c>
    </row>
    <row r="229" spans="1:24" x14ac:dyDescent="0.2">
      <c r="A229" s="19">
        <v>554919685</v>
      </c>
      <c r="B229" s="19" t="s">
        <v>5</v>
      </c>
      <c r="C229" s="19" t="s">
        <v>4</v>
      </c>
      <c r="D229" s="19" t="s">
        <v>365</v>
      </c>
      <c r="E229" s="19" t="s">
        <v>1777</v>
      </c>
      <c r="F229" s="19">
        <v>508804191</v>
      </c>
      <c r="G229" s="19">
        <v>8</v>
      </c>
      <c r="H229" s="19">
        <v>8</v>
      </c>
      <c r="I229" s="19">
        <v>1378</v>
      </c>
      <c r="J229" s="25">
        <v>0.88316399999999995</v>
      </c>
      <c r="K229" s="26">
        <v>1288.0000640000005</v>
      </c>
      <c r="L229" s="26">
        <v>17960</v>
      </c>
      <c r="M229" s="26">
        <v>7</v>
      </c>
      <c r="N229" s="26">
        <v>6</v>
      </c>
      <c r="O229" s="27">
        <v>13</v>
      </c>
      <c r="P229" s="19">
        <v>22</v>
      </c>
      <c r="Q229" s="19">
        <v>4</v>
      </c>
      <c r="R229" s="19" t="s">
        <v>1940</v>
      </c>
      <c r="S229" s="26">
        <v>17798.050063999995</v>
      </c>
      <c r="T229" s="28">
        <v>3</v>
      </c>
      <c r="U229" s="19" t="s">
        <v>611</v>
      </c>
      <c r="V229" s="19">
        <v>5392.5115639999949</v>
      </c>
      <c r="X229" t="b">
        <f>VLOOKUP(B229,'M10B Order'!B:F,5,FALSE)=W229</f>
        <v>1</v>
      </c>
    </row>
    <row r="230" spans="1:24" x14ac:dyDescent="0.2">
      <c r="A230" s="19">
        <v>554919710</v>
      </c>
      <c r="B230" s="19" t="s">
        <v>121</v>
      </c>
      <c r="C230" s="19" t="s">
        <v>120</v>
      </c>
      <c r="D230" s="19" t="s">
        <v>365</v>
      </c>
      <c r="E230" s="19" t="s">
        <v>1777</v>
      </c>
      <c r="F230" s="19">
        <v>508804191</v>
      </c>
      <c r="G230" s="19">
        <v>8</v>
      </c>
      <c r="H230" s="19">
        <v>8</v>
      </c>
      <c r="I230" s="19">
        <v>3408</v>
      </c>
      <c r="J230" s="25">
        <v>0.95275799999999999</v>
      </c>
      <c r="K230" s="26">
        <v>1288.0058880000001</v>
      </c>
      <c r="L230" s="26">
        <v>19192</v>
      </c>
      <c r="M230" s="26">
        <v>7</v>
      </c>
      <c r="N230" s="26">
        <v>6</v>
      </c>
      <c r="O230" s="27">
        <v>13</v>
      </c>
      <c r="P230" s="19">
        <v>22</v>
      </c>
      <c r="Q230" s="19">
        <v>4</v>
      </c>
      <c r="R230" s="19" t="s">
        <v>1940</v>
      </c>
      <c r="S230" s="26">
        <v>3520.6858879999982</v>
      </c>
      <c r="T230" s="28">
        <v>20</v>
      </c>
      <c r="U230" s="19" t="s">
        <v>670</v>
      </c>
      <c r="V230" s="19">
        <v>504.90134799999305</v>
      </c>
      <c r="X230" t="b">
        <f>VLOOKUP(B230,'M10B Order'!B:F,5,FALSE)=W230</f>
        <v>1</v>
      </c>
    </row>
    <row r="231" spans="1:24" x14ac:dyDescent="0.2">
      <c r="A231" s="19">
        <v>554919911</v>
      </c>
      <c r="B231" s="19" t="s">
        <v>229</v>
      </c>
      <c r="C231" s="19" t="s">
        <v>228</v>
      </c>
      <c r="D231" s="19" t="s">
        <v>365</v>
      </c>
      <c r="E231" s="19" t="s">
        <v>1777</v>
      </c>
      <c r="F231" s="19">
        <v>508804191</v>
      </c>
      <c r="G231" s="19">
        <v>8</v>
      </c>
      <c r="H231" s="19">
        <v>8</v>
      </c>
      <c r="I231" s="19">
        <v>3404</v>
      </c>
      <c r="J231" s="25">
        <v>0.94065799999999999</v>
      </c>
      <c r="K231" s="26">
        <v>1616.0013440000002</v>
      </c>
      <c r="L231" s="26">
        <v>26088</v>
      </c>
      <c r="M231" s="26">
        <v>7</v>
      </c>
      <c r="N231" s="26">
        <v>6</v>
      </c>
      <c r="O231" s="27">
        <v>13</v>
      </c>
      <c r="P231" s="19">
        <v>22</v>
      </c>
      <c r="Q231" s="19">
        <v>4</v>
      </c>
      <c r="R231" s="19" t="s">
        <v>1940</v>
      </c>
      <c r="S231" s="26">
        <v>3486.2613440000055</v>
      </c>
      <c r="T231" s="28">
        <v>21</v>
      </c>
      <c r="U231" s="19" t="s">
        <v>607</v>
      </c>
      <c r="V231" s="19">
        <v>600.57910800000127</v>
      </c>
      <c r="X231" t="b">
        <f>VLOOKUP(B231,'M10B Order'!B:F,5,FALSE)=W231</f>
        <v>1</v>
      </c>
    </row>
    <row r="232" spans="1:24" x14ac:dyDescent="0.2">
      <c r="A232" s="19">
        <v>558137536</v>
      </c>
      <c r="B232" s="19" t="s">
        <v>491</v>
      </c>
      <c r="C232" s="19" t="s">
        <v>490</v>
      </c>
      <c r="D232" s="19" t="s">
        <v>365</v>
      </c>
      <c r="E232" s="19" t="s">
        <v>1777</v>
      </c>
      <c r="F232" s="19">
        <v>508804191</v>
      </c>
      <c r="G232" s="19">
        <v>15</v>
      </c>
      <c r="H232" s="19">
        <v>15</v>
      </c>
      <c r="I232" s="19">
        <v>3404</v>
      </c>
      <c r="J232" s="25">
        <v>0.89688599999999996</v>
      </c>
      <c r="K232" s="26">
        <v>5265.0008400000015</v>
      </c>
      <c r="L232" s="26">
        <v>27120</v>
      </c>
      <c r="M232" s="26">
        <v>7</v>
      </c>
      <c r="N232" s="26">
        <v>6</v>
      </c>
      <c r="O232" s="27">
        <v>13</v>
      </c>
      <c r="P232" s="19">
        <v>22</v>
      </c>
      <c r="Q232" s="19">
        <v>4</v>
      </c>
      <c r="R232" s="19" t="s">
        <v>1940</v>
      </c>
      <c r="S232" s="26">
        <v>2737.9999999999973</v>
      </c>
      <c r="T232" s="28">
        <v>0</v>
      </c>
      <c r="U232" s="19" t="s">
        <v>5</v>
      </c>
      <c r="V232" s="19">
        <v>17798.050063999995</v>
      </c>
      <c r="X232" t="b">
        <f>VLOOKUP(B232,'M10B Order'!B:F,5,FALSE)=W232</f>
        <v>1</v>
      </c>
    </row>
    <row r="233" spans="1:24" x14ac:dyDescent="0.2">
      <c r="A233" s="19">
        <v>558137560</v>
      </c>
      <c r="B233" s="19" t="s">
        <v>493</v>
      </c>
      <c r="C233" s="19" t="s">
        <v>492</v>
      </c>
      <c r="D233" s="19" t="s">
        <v>365</v>
      </c>
      <c r="E233" s="19" t="s">
        <v>1777</v>
      </c>
      <c r="F233" s="19">
        <v>508804191</v>
      </c>
      <c r="G233" s="19">
        <v>8</v>
      </c>
      <c r="H233" s="19">
        <v>8</v>
      </c>
      <c r="I233" s="19">
        <v>1031</v>
      </c>
      <c r="J233" s="25">
        <v>0.94956399999999996</v>
      </c>
      <c r="K233" s="26">
        <v>415.99612800000028</v>
      </c>
      <c r="L233" s="26">
        <v>1344</v>
      </c>
      <c r="M233" s="26">
        <v>7</v>
      </c>
      <c r="N233" s="26">
        <v>6</v>
      </c>
      <c r="O233" s="27">
        <v>13</v>
      </c>
      <c r="P233" s="19">
        <v>22</v>
      </c>
      <c r="Q233" s="19">
        <v>4</v>
      </c>
      <c r="R233" s="19" t="s">
        <v>1940</v>
      </c>
      <c r="S233" s="26">
        <v>1893.0061280000004</v>
      </c>
      <c r="T233" s="28">
        <v>14</v>
      </c>
      <c r="U233" s="19" t="s">
        <v>431</v>
      </c>
      <c r="V233" s="19" t="s">
        <v>431</v>
      </c>
      <c r="X233" t="b">
        <f>VLOOKUP(B233,'M10B Order'!B:F,5,FALSE)=W233</f>
        <v>1</v>
      </c>
    </row>
    <row r="234" spans="1:24" x14ac:dyDescent="0.2">
      <c r="A234" s="19">
        <v>554919702</v>
      </c>
      <c r="B234" s="19" t="s">
        <v>17</v>
      </c>
      <c r="C234" s="19" t="s">
        <v>16</v>
      </c>
      <c r="D234" s="19" t="s">
        <v>365</v>
      </c>
      <c r="E234" s="19" t="s">
        <v>1777</v>
      </c>
      <c r="F234" s="19">
        <v>508804191</v>
      </c>
      <c r="G234" s="19">
        <v>8</v>
      </c>
      <c r="H234" s="19">
        <v>8</v>
      </c>
      <c r="I234" s="19">
        <v>1031</v>
      </c>
      <c r="J234" s="25">
        <v>0.96605200000000002</v>
      </c>
      <c r="K234" s="26">
        <v>280.00310399999984</v>
      </c>
      <c r="L234" s="26">
        <v>2904</v>
      </c>
      <c r="M234" s="26">
        <v>7</v>
      </c>
      <c r="N234" s="26">
        <v>6</v>
      </c>
      <c r="O234" s="27">
        <v>13</v>
      </c>
      <c r="P234" s="19">
        <v>22</v>
      </c>
      <c r="Q234" s="19">
        <v>4</v>
      </c>
      <c r="R234" s="19" t="s">
        <v>1940</v>
      </c>
      <c r="S234" s="26">
        <v>1770.0531040000001</v>
      </c>
      <c r="T234" s="28">
        <v>11</v>
      </c>
      <c r="U234" s="19" t="s">
        <v>431</v>
      </c>
      <c r="V234" s="19" t="s">
        <v>431</v>
      </c>
      <c r="X234" t="b">
        <f>VLOOKUP(B234,'M10B Order'!B:F,5,FALSE)=W234</f>
        <v>1</v>
      </c>
    </row>
    <row r="235" spans="1:24" x14ac:dyDescent="0.2">
      <c r="A235" s="19">
        <v>554919626</v>
      </c>
      <c r="B235" s="19" t="s">
        <v>294</v>
      </c>
      <c r="C235" s="19" t="s">
        <v>293</v>
      </c>
      <c r="D235" s="19" t="s">
        <v>365</v>
      </c>
      <c r="E235" s="19" t="s">
        <v>1777</v>
      </c>
      <c r="F235" s="19">
        <v>508804191</v>
      </c>
      <c r="G235" s="19">
        <v>8</v>
      </c>
      <c r="H235" s="19">
        <v>8</v>
      </c>
      <c r="I235" s="19">
        <v>473</v>
      </c>
      <c r="J235" s="25">
        <v>0.93023299999999998</v>
      </c>
      <c r="K235" s="26">
        <v>263.99832800000007</v>
      </c>
      <c r="L235" s="26">
        <v>0</v>
      </c>
      <c r="M235" s="26">
        <v>7</v>
      </c>
      <c r="N235" s="26">
        <v>6</v>
      </c>
      <c r="O235" s="27">
        <v>13</v>
      </c>
      <c r="P235" s="19">
        <v>22</v>
      </c>
      <c r="Q235" s="19">
        <v>4</v>
      </c>
      <c r="R235" s="19" t="s">
        <v>1940</v>
      </c>
      <c r="S235" s="26">
        <v>1542.1783280000004</v>
      </c>
      <c r="T235" s="28">
        <v>13</v>
      </c>
      <c r="U235" s="19" t="s">
        <v>1039</v>
      </c>
      <c r="V235" s="19" t="s">
        <v>431</v>
      </c>
      <c r="X235" t="b">
        <f>VLOOKUP(B235,'M10B Order'!B:F,5,FALSE)=W235</f>
        <v>1</v>
      </c>
    </row>
    <row r="236" spans="1:24" x14ac:dyDescent="0.2">
      <c r="A236" s="19">
        <v>554919858</v>
      </c>
      <c r="B236" s="19" t="s">
        <v>21</v>
      </c>
      <c r="C236" s="19" t="s">
        <v>20</v>
      </c>
      <c r="D236" s="19" t="s">
        <v>365</v>
      </c>
      <c r="E236" s="19" t="s">
        <v>1777</v>
      </c>
      <c r="F236" s="19">
        <v>508804191</v>
      </c>
      <c r="G236" s="19">
        <v>8</v>
      </c>
      <c r="H236" s="19">
        <v>8</v>
      </c>
      <c r="I236" s="19">
        <v>1031</v>
      </c>
      <c r="J236" s="25">
        <v>0.95053299999999996</v>
      </c>
      <c r="K236" s="26">
        <v>408.00381600000031</v>
      </c>
      <c r="L236" s="26">
        <v>1344</v>
      </c>
      <c r="M236" s="26">
        <v>7</v>
      </c>
      <c r="N236" s="26">
        <v>6</v>
      </c>
      <c r="O236" s="27">
        <v>13</v>
      </c>
      <c r="P236" s="19">
        <v>22</v>
      </c>
      <c r="Q236" s="19">
        <v>4</v>
      </c>
      <c r="R236" s="19" t="s">
        <v>1940</v>
      </c>
      <c r="S236" s="26">
        <v>1118.2838160000001</v>
      </c>
      <c r="T236" s="28">
        <v>17</v>
      </c>
      <c r="U236" s="19" t="s">
        <v>431</v>
      </c>
      <c r="V236" s="19" t="s">
        <v>431</v>
      </c>
      <c r="X236" t="b">
        <f>VLOOKUP(B236,'M10B Order'!B:F,5,FALSE)=W236</f>
        <v>1</v>
      </c>
    </row>
    <row r="237" spans="1:24" x14ac:dyDescent="0.2">
      <c r="A237" s="19">
        <v>573626517</v>
      </c>
      <c r="B237" s="19" t="s">
        <v>779</v>
      </c>
      <c r="C237" s="19" t="s">
        <v>780</v>
      </c>
      <c r="D237" s="19" t="s">
        <v>365</v>
      </c>
      <c r="E237" s="19" t="s">
        <v>1777</v>
      </c>
      <c r="F237" s="19">
        <v>508804191</v>
      </c>
      <c r="G237" s="19">
        <v>8</v>
      </c>
      <c r="H237" s="19">
        <v>8</v>
      </c>
      <c r="I237" s="19">
        <v>1378</v>
      </c>
      <c r="J237" s="25">
        <v>0.96299000000000001</v>
      </c>
      <c r="K237" s="26">
        <v>407.99823999999984</v>
      </c>
      <c r="L237" s="26">
        <v>2280</v>
      </c>
      <c r="M237" s="26">
        <v>7</v>
      </c>
      <c r="N237" s="26">
        <v>6</v>
      </c>
      <c r="O237" s="27">
        <v>13</v>
      </c>
      <c r="P237" s="19">
        <v>22</v>
      </c>
      <c r="Q237" s="19">
        <v>4</v>
      </c>
      <c r="R237" s="19" t="s">
        <v>1940</v>
      </c>
      <c r="S237" s="26">
        <v>1028.83824</v>
      </c>
      <c r="T237" s="28">
        <v>18</v>
      </c>
      <c r="U237" s="19" t="s">
        <v>725</v>
      </c>
      <c r="V237" s="19">
        <v>1594.440029999997</v>
      </c>
      <c r="X237" t="b">
        <f>VLOOKUP(B237,'M10B Order'!B:F,5,FALSE)=W237</f>
        <v>1</v>
      </c>
    </row>
    <row r="238" spans="1:24" x14ac:dyDescent="0.2">
      <c r="A238" s="19">
        <v>564246580</v>
      </c>
      <c r="B238" s="19" t="s">
        <v>503</v>
      </c>
      <c r="C238" s="19" t="s">
        <v>502</v>
      </c>
      <c r="D238" s="19" t="s">
        <v>365</v>
      </c>
      <c r="E238" s="19" t="s">
        <v>1777</v>
      </c>
      <c r="F238" s="19">
        <v>508804191</v>
      </c>
      <c r="G238" s="19">
        <v>8</v>
      </c>
      <c r="H238" s="19">
        <v>8</v>
      </c>
      <c r="I238" s="19">
        <v>457</v>
      </c>
      <c r="J238" s="25">
        <v>0.96280100000000002</v>
      </c>
      <c r="K238" s="26">
        <v>135.99954399999993</v>
      </c>
      <c r="L238" s="26">
        <v>2328</v>
      </c>
      <c r="M238" s="26">
        <v>7</v>
      </c>
      <c r="N238" s="26">
        <v>6</v>
      </c>
      <c r="O238" s="27">
        <v>13</v>
      </c>
      <c r="P238" s="19">
        <v>22</v>
      </c>
      <c r="Q238" s="19">
        <v>4</v>
      </c>
      <c r="R238" s="19" t="s">
        <v>1940</v>
      </c>
      <c r="S238" s="26">
        <v>986.04954399999929</v>
      </c>
      <c r="T238" s="28">
        <v>12</v>
      </c>
      <c r="U238" s="19" t="s">
        <v>431</v>
      </c>
      <c r="V238" s="19" t="s">
        <v>431</v>
      </c>
      <c r="X238" t="b">
        <f>VLOOKUP(B238,'M10B Order'!B:F,5,FALSE)=W238</f>
        <v>1</v>
      </c>
    </row>
    <row r="239" spans="1:24" x14ac:dyDescent="0.2">
      <c r="A239" s="19">
        <v>554919762</v>
      </c>
      <c r="B239" s="19" t="s">
        <v>163</v>
      </c>
      <c r="C239" s="19" t="s">
        <v>162</v>
      </c>
      <c r="D239" s="19" t="s">
        <v>365</v>
      </c>
      <c r="E239" s="19" t="s">
        <v>1777</v>
      </c>
      <c r="F239" s="19">
        <v>508804191</v>
      </c>
      <c r="G239" s="19">
        <v>8</v>
      </c>
      <c r="H239" s="19">
        <v>8</v>
      </c>
      <c r="I239" s="19">
        <v>1030</v>
      </c>
      <c r="J239" s="25">
        <v>0.91747599999999996</v>
      </c>
      <c r="K239" s="26">
        <v>679.99776000000031</v>
      </c>
      <c r="L239" s="26">
        <v>2232</v>
      </c>
      <c r="M239" s="26">
        <v>7</v>
      </c>
      <c r="N239" s="26">
        <v>6</v>
      </c>
      <c r="O239" s="27">
        <v>13</v>
      </c>
      <c r="P239" s="19">
        <v>22</v>
      </c>
      <c r="Q239" s="19">
        <v>4</v>
      </c>
      <c r="R239" s="19" t="s">
        <v>1940</v>
      </c>
      <c r="S239" s="26">
        <v>647.43776000000071</v>
      </c>
      <c r="T239" s="28">
        <v>22</v>
      </c>
      <c r="U239" s="19" t="s">
        <v>431</v>
      </c>
      <c r="V239" s="19" t="s">
        <v>431</v>
      </c>
      <c r="X239" t="b">
        <f>VLOOKUP(B239,'M10B Order'!B:F,5,FALSE)=W239</f>
        <v>1</v>
      </c>
    </row>
    <row r="240" spans="1:24" x14ac:dyDescent="0.2">
      <c r="A240" s="19">
        <v>554919690</v>
      </c>
      <c r="B240" s="19" t="s">
        <v>23</v>
      </c>
      <c r="C240" s="19" t="s">
        <v>22</v>
      </c>
      <c r="D240" s="19" t="s">
        <v>365</v>
      </c>
      <c r="E240" s="19" t="s">
        <v>1777</v>
      </c>
      <c r="F240" s="19">
        <v>508804191</v>
      </c>
      <c r="G240" s="19">
        <v>8</v>
      </c>
      <c r="H240" s="19">
        <v>8</v>
      </c>
      <c r="I240" s="19">
        <v>458</v>
      </c>
      <c r="J240" s="25">
        <v>0.86899599999999999</v>
      </c>
      <c r="K240" s="26">
        <v>479.99865600000004</v>
      </c>
      <c r="L240" s="26">
        <v>2368</v>
      </c>
      <c r="M240" s="26">
        <v>7</v>
      </c>
      <c r="N240" s="26">
        <v>6</v>
      </c>
      <c r="O240" s="27">
        <v>13</v>
      </c>
      <c r="P240" s="19">
        <v>22</v>
      </c>
      <c r="Q240" s="19">
        <v>4</v>
      </c>
      <c r="R240" s="19" t="s">
        <v>1940</v>
      </c>
      <c r="S240" s="26">
        <v>543.10865599999966</v>
      </c>
      <c r="T240" s="28">
        <v>17</v>
      </c>
      <c r="U240" s="19" t="s">
        <v>431</v>
      </c>
      <c r="V240" s="19" t="s">
        <v>431</v>
      </c>
      <c r="X240" t="b">
        <f>VLOOKUP(B240,'M10B Order'!B:F,5,FALSE)=W240</f>
        <v>1</v>
      </c>
    </row>
    <row r="241" spans="1:24" x14ac:dyDescent="0.2">
      <c r="A241" s="19">
        <v>554919771</v>
      </c>
      <c r="B241" s="19" t="s">
        <v>302</v>
      </c>
      <c r="C241" s="19" t="s">
        <v>301</v>
      </c>
      <c r="D241" s="19" t="s">
        <v>365</v>
      </c>
      <c r="E241" s="19" t="s">
        <v>1777</v>
      </c>
      <c r="F241" s="19">
        <v>508804191</v>
      </c>
      <c r="G241" s="19">
        <v>8</v>
      </c>
      <c r="H241" s="19">
        <v>8</v>
      </c>
      <c r="I241" s="19">
        <v>457</v>
      </c>
      <c r="J241" s="25">
        <v>0.96936500000000003</v>
      </c>
      <c r="K241" s="26">
        <v>112.00155999999988</v>
      </c>
      <c r="L241" s="26">
        <v>1864</v>
      </c>
      <c r="M241" s="26">
        <v>7</v>
      </c>
      <c r="N241" s="26">
        <v>6</v>
      </c>
      <c r="O241" s="27">
        <v>13</v>
      </c>
      <c r="P241" s="19">
        <v>22</v>
      </c>
      <c r="Q241" s="19">
        <v>4</v>
      </c>
      <c r="R241" s="19" t="s">
        <v>1940</v>
      </c>
      <c r="S241" s="26">
        <v>407.64156000000042</v>
      </c>
      <c r="T241" s="28">
        <v>19</v>
      </c>
      <c r="U241" s="19" t="s">
        <v>431</v>
      </c>
      <c r="V241" s="19" t="s">
        <v>431</v>
      </c>
      <c r="X241" t="b">
        <f>VLOOKUP(B241,'M10B Order'!B:F,5,FALSE)=W241</f>
        <v>1</v>
      </c>
    </row>
    <row r="242" spans="1:24" x14ac:dyDescent="0.2">
      <c r="A242" s="19">
        <v>554919749</v>
      </c>
      <c r="B242" s="19" t="s">
        <v>330</v>
      </c>
      <c r="C242" s="19" t="s">
        <v>329</v>
      </c>
      <c r="D242" s="19" t="s">
        <v>365</v>
      </c>
      <c r="E242" s="19" t="s">
        <v>1777</v>
      </c>
      <c r="F242" s="19">
        <v>508804191</v>
      </c>
      <c r="G242" s="19">
        <v>8</v>
      </c>
      <c r="H242" s="19">
        <v>8</v>
      </c>
      <c r="I242" s="19">
        <v>1031</v>
      </c>
      <c r="J242" s="25">
        <v>0.98448100000000005</v>
      </c>
      <c r="K242" s="26">
        <v>128.0007119999996</v>
      </c>
      <c r="L242" s="26">
        <v>1544</v>
      </c>
      <c r="M242" s="26">
        <v>7</v>
      </c>
      <c r="N242" s="26">
        <v>6</v>
      </c>
      <c r="O242" s="27">
        <v>13</v>
      </c>
      <c r="P242" s="19">
        <v>22</v>
      </c>
      <c r="Q242" s="19">
        <v>4</v>
      </c>
      <c r="R242" s="19" t="s">
        <v>1940</v>
      </c>
      <c r="S242" s="26">
        <v>392.0907119999996</v>
      </c>
      <c r="T242" s="28">
        <v>24</v>
      </c>
      <c r="U242" s="19" t="s">
        <v>431</v>
      </c>
      <c r="V242" s="19" t="s">
        <v>431</v>
      </c>
      <c r="X242" t="b">
        <f>VLOOKUP(B242,'M10B Order'!B:F,5,FALSE)=W242</f>
        <v>1</v>
      </c>
    </row>
    <row r="243" spans="1:24" x14ac:dyDescent="0.2">
      <c r="A243" s="19">
        <v>554919751</v>
      </c>
      <c r="B243" s="19" t="s">
        <v>312</v>
      </c>
      <c r="C243" s="19" t="s">
        <v>311</v>
      </c>
      <c r="D243" s="19" t="s">
        <v>365</v>
      </c>
      <c r="E243" s="19" t="s">
        <v>1777</v>
      </c>
      <c r="F243" s="19">
        <v>508804191</v>
      </c>
      <c r="G243" s="19">
        <v>8</v>
      </c>
      <c r="H243" s="19">
        <v>8</v>
      </c>
      <c r="I243" s="19">
        <v>1031</v>
      </c>
      <c r="J243" s="25">
        <v>0.98060099999999994</v>
      </c>
      <c r="K243" s="26">
        <v>160.00295200000045</v>
      </c>
      <c r="L243" s="26">
        <v>1296</v>
      </c>
      <c r="M243" s="26">
        <v>7</v>
      </c>
      <c r="N243" s="26">
        <v>6</v>
      </c>
      <c r="O243" s="27">
        <v>13</v>
      </c>
      <c r="P243" s="19">
        <v>22</v>
      </c>
      <c r="Q243" s="19">
        <v>4</v>
      </c>
      <c r="R243" s="19" t="s">
        <v>1940</v>
      </c>
      <c r="S243" s="26">
        <v>360.67295200000069</v>
      </c>
      <c r="T243" s="28">
        <v>24</v>
      </c>
      <c r="U243" s="19" t="s">
        <v>431</v>
      </c>
      <c r="V243" s="19" t="s">
        <v>431</v>
      </c>
      <c r="X243" t="b">
        <f>VLOOKUP(B243,'M10B Order'!B:F,5,FALSE)=W243</f>
        <v>1</v>
      </c>
    </row>
    <row r="244" spans="1:24" x14ac:dyDescent="0.2">
      <c r="A244" s="19">
        <v>558137569</v>
      </c>
      <c r="B244" s="19" t="s">
        <v>495</v>
      </c>
      <c r="C244" s="19" t="s">
        <v>494</v>
      </c>
      <c r="D244" s="19" t="s">
        <v>365</v>
      </c>
      <c r="E244" s="19" t="s">
        <v>1777</v>
      </c>
      <c r="F244" s="19">
        <v>508804191</v>
      </c>
      <c r="G244" s="19">
        <v>8</v>
      </c>
      <c r="H244" s="19">
        <v>8</v>
      </c>
      <c r="I244" s="19">
        <v>1378</v>
      </c>
      <c r="J244" s="25">
        <v>0.96952099999999997</v>
      </c>
      <c r="K244" s="26">
        <v>336.0004960000004</v>
      </c>
      <c r="L244" s="26">
        <v>4408</v>
      </c>
      <c r="M244" s="26">
        <v>7</v>
      </c>
      <c r="N244" s="26">
        <v>6</v>
      </c>
      <c r="O244" s="27">
        <v>13</v>
      </c>
      <c r="P244" s="19">
        <v>22</v>
      </c>
      <c r="Q244" s="19">
        <v>4</v>
      </c>
      <c r="R244" s="19" t="s">
        <v>1940</v>
      </c>
      <c r="S244" s="26">
        <v>338.05049600000029</v>
      </c>
      <c r="T244" s="28">
        <v>25</v>
      </c>
      <c r="U244" s="19" t="s">
        <v>431</v>
      </c>
      <c r="V244" s="19" t="s">
        <v>431</v>
      </c>
      <c r="X244" t="b">
        <f>VLOOKUP(B244,'M10B Order'!B:F,5,FALSE)=W244</f>
        <v>1</v>
      </c>
    </row>
    <row r="245" spans="1:24" x14ac:dyDescent="0.2">
      <c r="A245" s="19">
        <v>554919734</v>
      </c>
      <c r="B245" s="19" t="s">
        <v>255</v>
      </c>
      <c r="C245" s="19" t="s">
        <v>254</v>
      </c>
      <c r="D245" s="19" t="s">
        <v>365</v>
      </c>
      <c r="E245" s="19" t="s">
        <v>1777</v>
      </c>
      <c r="F245" s="19">
        <v>508804191</v>
      </c>
      <c r="G245" s="19">
        <v>8</v>
      </c>
      <c r="H245" s="19">
        <v>8</v>
      </c>
      <c r="I245" s="19">
        <v>1032</v>
      </c>
      <c r="J245" s="25">
        <v>0.94961200000000001</v>
      </c>
      <c r="K245" s="26">
        <v>416.0033279999999</v>
      </c>
      <c r="L245" s="26">
        <v>0</v>
      </c>
      <c r="M245" s="26">
        <v>7</v>
      </c>
      <c r="N245" s="26">
        <v>6</v>
      </c>
      <c r="O245" s="27">
        <v>13</v>
      </c>
      <c r="P245" s="19">
        <v>22</v>
      </c>
      <c r="Q245" s="19">
        <v>4</v>
      </c>
      <c r="R245" s="19" t="s">
        <v>1940</v>
      </c>
      <c r="S245" s="26">
        <v>66.543328000001679</v>
      </c>
      <c r="T245" s="28">
        <v>26</v>
      </c>
      <c r="U245" s="19" t="s">
        <v>431</v>
      </c>
      <c r="V245" s="19" t="s">
        <v>431</v>
      </c>
      <c r="X245" t="b">
        <f>VLOOKUP(B245,'M10B Order'!B:F,5,FALSE)=W245</f>
        <v>1</v>
      </c>
    </row>
    <row r="246" spans="1:24" x14ac:dyDescent="0.2">
      <c r="A246" s="19">
        <v>573626582</v>
      </c>
      <c r="B246" s="19" t="s">
        <v>768</v>
      </c>
      <c r="C246" s="19" t="s">
        <v>769</v>
      </c>
      <c r="D246" s="19" t="s">
        <v>763</v>
      </c>
      <c r="E246" s="19" t="s">
        <v>1777</v>
      </c>
      <c r="F246" s="19">
        <v>508804191</v>
      </c>
      <c r="G246" s="19">
        <v>9</v>
      </c>
      <c r="H246" s="19">
        <v>9</v>
      </c>
      <c r="I246" s="19">
        <v>3403</v>
      </c>
      <c r="J246" s="25">
        <v>0.88921499999999998</v>
      </c>
      <c r="K246" s="26">
        <v>3393.0121950000007</v>
      </c>
      <c r="L246" s="26">
        <v>5436</v>
      </c>
      <c r="M246" s="26">
        <v>9</v>
      </c>
      <c r="N246" s="26">
        <v>6</v>
      </c>
      <c r="O246" s="27">
        <v>15</v>
      </c>
      <c r="P246" s="19">
        <v>22</v>
      </c>
      <c r="Q246" s="19">
        <v>4</v>
      </c>
      <c r="R246" s="19" t="s">
        <v>1939</v>
      </c>
      <c r="S246" s="26">
        <v>8956.3621950000015</v>
      </c>
      <c r="T246" s="28">
        <v>7</v>
      </c>
      <c r="U246" s="19">
        <v>0</v>
      </c>
      <c r="V246" s="19" t="s">
        <v>431</v>
      </c>
      <c r="X246" t="b">
        <f>VLOOKUP(B246,'M10B Order'!B:F,5,FALSE)=W246</f>
        <v>1</v>
      </c>
    </row>
    <row r="247" spans="1:24" x14ac:dyDescent="0.2">
      <c r="A247" s="19">
        <v>573626514</v>
      </c>
      <c r="B247" s="19" t="s">
        <v>764</v>
      </c>
      <c r="C247" s="19" t="s">
        <v>765</v>
      </c>
      <c r="D247" s="19" t="s">
        <v>763</v>
      </c>
      <c r="E247" s="19" t="s">
        <v>1777</v>
      </c>
      <c r="F247" s="19">
        <v>508804191</v>
      </c>
      <c r="G247" s="19">
        <v>9</v>
      </c>
      <c r="H247" s="19">
        <v>9</v>
      </c>
      <c r="I247" s="19">
        <v>3404</v>
      </c>
      <c r="J247" s="25">
        <v>0.85752099999999998</v>
      </c>
      <c r="K247" s="26">
        <v>4364.9866440000005</v>
      </c>
      <c r="L247" s="26">
        <v>1845</v>
      </c>
      <c r="M247" s="26">
        <v>9</v>
      </c>
      <c r="N247" s="26">
        <v>6</v>
      </c>
      <c r="O247" s="27">
        <v>15</v>
      </c>
      <c r="P247" s="19">
        <v>22</v>
      </c>
      <c r="Q247" s="19">
        <v>4</v>
      </c>
      <c r="R247" s="19" t="s">
        <v>1939</v>
      </c>
      <c r="S247" s="26">
        <v>4441.3699999999972</v>
      </c>
      <c r="T247" s="28">
        <v>21</v>
      </c>
      <c r="U247" s="19">
        <v>0</v>
      </c>
      <c r="V247" s="19" t="s">
        <v>431</v>
      </c>
      <c r="X247" t="b">
        <f>VLOOKUP(B247,'M10B Order'!B:F,5,FALSE)=W247</f>
        <v>1</v>
      </c>
    </row>
    <row r="248" spans="1:24" x14ac:dyDescent="0.2">
      <c r="A248" s="19">
        <v>573626590</v>
      </c>
      <c r="B248" s="19" t="s">
        <v>766</v>
      </c>
      <c r="C248" s="19" t="s">
        <v>767</v>
      </c>
      <c r="D248" s="19" t="s">
        <v>763</v>
      </c>
      <c r="E248" s="19" t="s">
        <v>1777</v>
      </c>
      <c r="F248" s="19">
        <v>508804191</v>
      </c>
      <c r="G248" s="19">
        <v>9</v>
      </c>
      <c r="H248" s="19">
        <v>9</v>
      </c>
      <c r="I248" s="19">
        <v>3404</v>
      </c>
      <c r="J248" s="25">
        <v>0.94653299999999996</v>
      </c>
      <c r="K248" s="26">
        <v>1638.0150120000012</v>
      </c>
      <c r="L248" s="26">
        <v>3141</v>
      </c>
      <c r="M248" s="26">
        <v>9</v>
      </c>
      <c r="N248" s="26">
        <v>6</v>
      </c>
      <c r="O248" s="27">
        <v>15</v>
      </c>
      <c r="P248" s="19">
        <v>22</v>
      </c>
      <c r="Q248" s="19">
        <v>4</v>
      </c>
      <c r="R248" s="19" t="s">
        <v>1939</v>
      </c>
      <c r="S248" s="26">
        <v>1696.5999999999995</v>
      </c>
      <c r="T248" s="28">
        <v>22</v>
      </c>
      <c r="U248" s="19">
        <v>0</v>
      </c>
      <c r="V248" s="19" t="s">
        <v>431</v>
      </c>
      <c r="X248" t="b">
        <f>VLOOKUP(B248,'M10B Order'!B:F,5,FALSE)=W248</f>
        <v>1</v>
      </c>
    </row>
    <row r="249" spans="1:24" x14ac:dyDescent="0.2">
      <c r="A249" s="19">
        <v>567148962</v>
      </c>
      <c r="B249" s="19" t="s">
        <v>525</v>
      </c>
      <c r="C249" s="19" t="s">
        <v>524</v>
      </c>
      <c r="D249" s="19" t="s">
        <v>523</v>
      </c>
      <c r="E249" s="19" t="s">
        <v>1778</v>
      </c>
      <c r="F249" s="19">
        <v>508804198</v>
      </c>
      <c r="G249" s="19">
        <v>4</v>
      </c>
      <c r="H249" s="19">
        <v>4</v>
      </c>
      <c r="I249" s="19">
        <v>2389</v>
      </c>
      <c r="J249" s="25">
        <v>0.95562999999999998</v>
      </c>
      <c r="K249" s="26">
        <v>423.9997200000002</v>
      </c>
      <c r="L249" s="26">
        <v>14029</v>
      </c>
      <c r="M249" s="26">
        <v>9</v>
      </c>
      <c r="N249" s="26">
        <v>8</v>
      </c>
      <c r="O249" s="27">
        <v>17</v>
      </c>
      <c r="P249" s="19">
        <v>12</v>
      </c>
      <c r="Q249" s="19">
        <v>1</v>
      </c>
      <c r="R249" s="19" t="s">
        <v>431</v>
      </c>
      <c r="S249" s="26">
        <v>0</v>
      </c>
      <c r="T249" s="28">
        <v>16</v>
      </c>
      <c r="U249" s="19" t="s">
        <v>413</v>
      </c>
      <c r="V249" s="19">
        <v>1591.542928000001</v>
      </c>
      <c r="X249" t="b">
        <f>VLOOKUP(B249,'M10B Order'!B:F,5,FALSE)=W249</f>
        <v>1</v>
      </c>
    </row>
    <row r="250" spans="1:24" x14ac:dyDescent="0.2">
      <c r="A250" s="19">
        <v>569042316</v>
      </c>
      <c r="B250" s="19" t="s">
        <v>704</v>
      </c>
      <c r="C250" s="19" t="s">
        <v>705</v>
      </c>
      <c r="D250" s="19" t="s">
        <v>523</v>
      </c>
      <c r="E250" s="19" t="s">
        <v>1778</v>
      </c>
      <c r="F250" s="19">
        <v>508804198</v>
      </c>
      <c r="G250" s="19">
        <v>3</v>
      </c>
      <c r="H250" s="19">
        <v>3</v>
      </c>
      <c r="I250" s="19">
        <v>2230</v>
      </c>
      <c r="J250" s="25">
        <v>0.95784800000000003</v>
      </c>
      <c r="K250" s="26">
        <v>281.99687999999981</v>
      </c>
      <c r="L250" s="26">
        <v>5403</v>
      </c>
      <c r="M250" s="26">
        <v>9</v>
      </c>
      <c r="N250" s="26">
        <v>8</v>
      </c>
      <c r="O250" s="27">
        <v>17</v>
      </c>
      <c r="P250" s="19">
        <v>12</v>
      </c>
      <c r="Q250" s="19">
        <v>1</v>
      </c>
      <c r="R250" s="19" t="s">
        <v>431</v>
      </c>
      <c r="S250" s="26">
        <v>0</v>
      </c>
      <c r="T250" s="28">
        <v>19</v>
      </c>
      <c r="U250" s="19" t="s">
        <v>916</v>
      </c>
      <c r="V250" s="19">
        <v>699.85522400000013</v>
      </c>
      <c r="X250" t="b">
        <f>VLOOKUP(B250,'M10B Order'!B:F,5,FALSE)=W250</f>
        <v>1</v>
      </c>
    </row>
    <row r="251" spans="1:24" x14ac:dyDescent="0.2">
      <c r="A251" s="19">
        <v>567148800</v>
      </c>
      <c r="B251" s="19" t="s">
        <v>527</v>
      </c>
      <c r="C251" s="19" t="s">
        <v>526</v>
      </c>
      <c r="D251" s="19" t="s">
        <v>523</v>
      </c>
      <c r="E251" s="19" t="s">
        <v>1778</v>
      </c>
      <c r="F251" s="19">
        <v>508804198</v>
      </c>
      <c r="G251" s="19">
        <v>4</v>
      </c>
      <c r="H251" s="19">
        <v>4</v>
      </c>
      <c r="I251" s="19">
        <v>1896</v>
      </c>
      <c r="J251" s="25">
        <v>0.95622399999999996</v>
      </c>
      <c r="K251" s="26">
        <v>331.99718400000029</v>
      </c>
      <c r="L251" s="26">
        <v>2088</v>
      </c>
      <c r="M251" s="26">
        <v>9</v>
      </c>
      <c r="N251" s="26">
        <v>8</v>
      </c>
      <c r="O251" s="27">
        <v>17</v>
      </c>
      <c r="P251" s="19">
        <v>12</v>
      </c>
      <c r="Q251" s="19">
        <v>1</v>
      </c>
      <c r="R251" s="19" t="s">
        <v>431</v>
      </c>
      <c r="S251" s="26">
        <v>0</v>
      </c>
      <c r="T251" s="28">
        <v>20</v>
      </c>
      <c r="U251" s="19" t="s">
        <v>419</v>
      </c>
      <c r="V251" s="19">
        <v>918.61999999999887</v>
      </c>
      <c r="X251" t="b">
        <f>VLOOKUP(B251,'M10B Order'!B:F,5,FALSE)=W251</f>
        <v>1</v>
      </c>
    </row>
    <row r="252" spans="1:24" x14ac:dyDescent="0.2">
      <c r="A252" s="19">
        <v>567148998</v>
      </c>
      <c r="B252" s="19" t="s">
        <v>537</v>
      </c>
      <c r="C252" s="19" t="s">
        <v>536</v>
      </c>
      <c r="D252" s="19" t="s">
        <v>523</v>
      </c>
      <c r="E252" s="19" t="s">
        <v>1778</v>
      </c>
      <c r="F252" s="19">
        <v>508804198</v>
      </c>
      <c r="G252" s="19">
        <v>4</v>
      </c>
      <c r="H252" s="19">
        <v>4</v>
      </c>
      <c r="I252" s="19">
        <v>393</v>
      </c>
      <c r="J252" s="25">
        <v>0.98727699999999996</v>
      </c>
      <c r="K252" s="26">
        <v>20.000556000000064</v>
      </c>
      <c r="L252" s="26">
        <v>3272</v>
      </c>
      <c r="M252" s="26">
        <v>9</v>
      </c>
      <c r="N252" s="26">
        <v>8</v>
      </c>
      <c r="O252" s="27">
        <v>17</v>
      </c>
      <c r="P252" s="19">
        <v>12</v>
      </c>
      <c r="Q252" s="19">
        <v>1</v>
      </c>
      <c r="R252" s="19" t="s">
        <v>431</v>
      </c>
      <c r="S252" s="26">
        <v>0</v>
      </c>
      <c r="T252" s="28" t="s">
        <v>1933</v>
      </c>
      <c r="U252" s="19" t="s">
        <v>380</v>
      </c>
      <c r="V252" s="19" t="s">
        <v>431</v>
      </c>
      <c r="X252" t="b">
        <f>VLOOKUP(B252,'M10B Order'!B:F,5,FALSE)=W252</f>
        <v>1</v>
      </c>
    </row>
    <row r="253" spans="1:24" x14ac:dyDescent="0.2">
      <c r="A253" s="19">
        <v>567148991</v>
      </c>
      <c r="B253" s="19" t="s">
        <v>539</v>
      </c>
      <c r="C253" s="19" t="s">
        <v>538</v>
      </c>
      <c r="D253" s="19" t="s">
        <v>523</v>
      </c>
      <c r="E253" s="19" t="s">
        <v>1778</v>
      </c>
      <c r="F253" s="19">
        <v>508804198</v>
      </c>
      <c r="G253" s="19">
        <v>4</v>
      </c>
      <c r="H253" s="19">
        <v>4</v>
      </c>
      <c r="I253" s="19">
        <v>1845</v>
      </c>
      <c r="J253" s="25">
        <v>0.98265599999999997</v>
      </c>
      <c r="K253" s="26">
        <v>127.99872000000019</v>
      </c>
      <c r="L253" s="26">
        <v>8096</v>
      </c>
      <c r="M253" s="26">
        <v>9</v>
      </c>
      <c r="N253" s="26">
        <v>8</v>
      </c>
      <c r="O253" s="27">
        <v>17</v>
      </c>
      <c r="P253" s="19">
        <v>12</v>
      </c>
      <c r="Q253" s="19">
        <v>1</v>
      </c>
      <c r="R253" s="19" t="s">
        <v>431</v>
      </c>
      <c r="S253" s="26">
        <v>0</v>
      </c>
      <c r="T253" s="28">
        <v>17</v>
      </c>
      <c r="U253" s="19" t="s">
        <v>399</v>
      </c>
      <c r="V253" s="19">
        <v>979.33868000000007</v>
      </c>
      <c r="X253" t="b">
        <f>VLOOKUP(B253,'M10B Order'!B:F,5,FALSE)=W253</f>
        <v>1</v>
      </c>
    </row>
    <row r="254" spans="1:24" x14ac:dyDescent="0.2">
      <c r="A254" s="19">
        <v>567149009</v>
      </c>
      <c r="B254" s="19" t="s">
        <v>544</v>
      </c>
      <c r="C254" s="19" t="s">
        <v>543</v>
      </c>
      <c r="D254" s="19" t="s">
        <v>523</v>
      </c>
      <c r="E254" s="19" t="s">
        <v>1778</v>
      </c>
      <c r="F254" s="19">
        <v>508804198</v>
      </c>
      <c r="G254" s="19">
        <v>4</v>
      </c>
      <c r="H254" s="19">
        <v>4</v>
      </c>
      <c r="I254" s="19">
        <v>1897</v>
      </c>
      <c r="J254" s="25">
        <v>0.98049600000000003</v>
      </c>
      <c r="K254" s="26">
        <v>147.99635199999975</v>
      </c>
      <c r="L254" s="26">
        <v>6408</v>
      </c>
      <c r="M254" s="26">
        <v>9</v>
      </c>
      <c r="N254" s="26">
        <v>8</v>
      </c>
      <c r="O254" s="27">
        <v>17</v>
      </c>
      <c r="P254" s="19">
        <v>12</v>
      </c>
      <c r="Q254" s="19">
        <v>1</v>
      </c>
      <c r="R254" s="19" t="s">
        <v>431</v>
      </c>
      <c r="S254" s="26">
        <v>0</v>
      </c>
      <c r="T254" s="28">
        <v>23</v>
      </c>
      <c r="U254" s="19" t="s">
        <v>508</v>
      </c>
      <c r="V254" s="19">
        <v>0</v>
      </c>
      <c r="X254" t="b">
        <f>VLOOKUP(B254,'M10B Order'!B:F,5,FALSE)=W254</f>
        <v>1</v>
      </c>
    </row>
    <row r="255" spans="1:24" x14ac:dyDescent="0.2">
      <c r="A255" s="19">
        <v>567148990</v>
      </c>
      <c r="B255" s="19" t="s">
        <v>546</v>
      </c>
      <c r="C255" s="19" t="s">
        <v>545</v>
      </c>
      <c r="D255" s="19" t="s">
        <v>523</v>
      </c>
      <c r="E255" s="19" t="s">
        <v>1778</v>
      </c>
      <c r="F255" s="19">
        <v>508804198</v>
      </c>
      <c r="G255" s="19">
        <v>4</v>
      </c>
      <c r="H255" s="19">
        <v>4</v>
      </c>
      <c r="I255" s="19">
        <v>393</v>
      </c>
      <c r="J255" s="25">
        <v>0.97201000000000004</v>
      </c>
      <c r="K255" s="26">
        <v>44.000279999999933</v>
      </c>
      <c r="L255" s="26">
        <v>2744</v>
      </c>
      <c r="M255" s="26">
        <v>9</v>
      </c>
      <c r="N255" s="26">
        <v>8</v>
      </c>
      <c r="O255" s="27">
        <v>17</v>
      </c>
      <c r="P255" s="19">
        <v>12</v>
      </c>
      <c r="Q255" s="19">
        <v>1</v>
      </c>
      <c r="R255" s="19" t="s">
        <v>431</v>
      </c>
      <c r="S255" s="26">
        <v>0</v>
      </c>
      <c r="T255" s="28" t="s">
        <v>1933</v>
      </c>
      <c r="U255" s="19" t="s">
        <v>264</v>
      </c>
      <c r="V255" s="19" t="s">
        <v>431</v>
      </c>
      <c r="X255" t="b">
        <f>VLOOKUP(B255,'M10B Order'!B:F,5,FALSE)=W255</f>
        <v>1</v>
      </c>
    </row>
    <row r="256" spans="1:24" x14ac:dyDescent="0.2">
      <c r="A256" s="19">
        <v>567148988</v>
      </c>
      <c r="B256" s="19" t="s">
        <v>548</v>
      </c>
      <c r="C256" s="19" t="s">
        <v>547</v>
      </c>
      <c r="D256" s="19" t="s">
        <v>523</v>
      </c>
      <c r="E256" s="19" t="s">
        <v>1778</v>
      </c>
      <c r="F256" s="19">
        <v>508804198</v>
      </c>
      <c r="G256" s="19">
        <v>4</v>
      </c>
      <c r="H256" s="19">
        <v>4</v>
      </c>
      <c r="I256" s="19">
        <v>393</v>
      </c>
      <c r="J256" s="25">
        <v>0.97709900000000005</v>
      </c>
      <c r="K256" s="26">
        <v>36.000371999999921</v>
      </c>
      <c r="L256" s="26">
        <v>2660</v>
      </c>
      <c r="M256" s="26">
        <v>9</v>
      </c>
      <c r="N256" s="26">
        <v>8</v>
      </c>
      <c r="O256" s="27">
        <v>17</v>
      </c>
      <c r="P256" s="19">
        <v>12</v>
      </c>
      <c r="Q256" s="19">
        <v>1</v>
      </c>
      <c r="R256" s="19" t="s">
        <v>431</v>
      </c>
      <c r="S256" s="26">
        <v>0</v>
      </c>
      <c r="T256" s="28" t="s">
        <v>1933</v>
      </c>
      <c r="U256" s="19" t="s">
        <v>127</v>
      </c>
      <c r="V256" s="19">
        <v>0</v>
      </c>
      <c r="X256" t="b">
        <f>VLOOKUP(B256,'M10B Order'!B:F,5,FALSE)=W256</f>
        <v>1</v>
      </c>
    </row>
    <row r="257" spans="1:24" x14ac:dyDescent="0.2">
      <c r="A257" s="19">
        <v>567149006</v>
      </c>
      <c r="B257" s="19" t="s">
        <v>550</v>
      </c>
      <c r="C257" s="19" t="s">
        <v>549</v>
      </c>
      <c r="D257" s="19" t="s">
        <v>523</v>
      </c>
      <c r="E257" s="19" t="s">
        <v>1778</v>
      </c>
      <c r="F257" s="19">
        <v>508804198</v>
      </c>
      <c r="G257" s="19">
        <v>4</v>
      </c>
      <c r="H257" s="19">
        <v>4</v>
      </c>
      <c r="I257" s="19">
        <v>1441</v>
      </c>
      <c r="J257" s="25">
        <v>0.98750899999999997</v>
      </c>
      <c r="K257" s="26">
        <v>71.998124000000175</v>
      </c>
      <c r="L257" s="26">
        <v>4920</v>
      </c>
      <c r="M257" s="26">
        <v>9</v>
      </c>
      <c r="N257" s="26">
        <v>8</v>
      </c>
      <c r="O257" s="27">
        <v>17</v>
      </c>
      <c r="P257" s="19">
        <v>12</v>
      </c>
      <c r="Q257" s="19">
        <v>1</v>
      </c>
      <c r="R257" s="19" t="s">
        <v>431</v>
      </c>
      <c r="S257" s="26">
        <v>0</v>
      </c>
      <c r="T257" s="28">
        <v>21</v>
      </c>
      <c r="U257" s="19" t="s">
        <v>342</v>
      </c>
      <c r="V257" s="19">
        <v>0</v>
      </c>
      <c r="X257" t="b">
        <f>VLOOKUP(B257,'M10B Order'!B:F,5,FALSE)=W257</f>
        <v>1</v>
      </c>
    </row>
    <row r="258" spans="1:24" x14ac:dyDescent="0.2">
      <c r="A258" s="19">
        <v>567148993</v>
      </c>
      <c r="B258" s="19" t="s">
        <v>554</v>
      </c>
      <c r="C258" s="19" t="s">
        <v>553</v>
      </c>
      <c r="D258" s="19" t="s">
        <v>523</v>
      </c>
      <c r="E258" s="19" t="s">
        <v>1778</v>
      </c>
      <c r="F258" s="19">
        <v>508804198</v>
      </c>
      <c r="G258" s="19">
        <v>4</v>
      </c>
      <c r="H258" s="19">
        <v>4</v>
      </c>
      <c r="I258" s="19">
        <v>1470</v>
      </c>
      <c r="J258" s="25">
        <v>0.97959200000000002</v>
      </c>
      <c r="K258" s="26">
        <v>119.99903999999989</v>
      </c>
      <c r="L258" s="26">
        <v>2980</v>
      </c>
      <c r="M258" s="26">
        <v>9</v>
      </c>
      <c r="N258" s="26">
        <v>8</v>
      </c>
      <c r="O258" s="27">
        <v>17</v>
      </c>
      <c r="P258" s="19">
        <v>12</v>
      </c>
      <c r="Q258" s="19">
        <v>1</v>
      </c>
      <c r="R258" s="19" t="s">
        <v>431</v>
      </c>
      <c r="S258" s="26">
        <v>0</v>
      </c>
      <c r="T258" s="28">
        <v>19</v>
      </c>
      <c r="U258" s="19" t="s">
        <v>101</v>
      </c>
      <c r="V258" s="19">
        <v>527.43043200000091</v>
      </c>
      <c r="X258" t="b">
        <f>VLOOKUP(B258,'M10B Order'!B:F,5,FALSE)=W258</f>
        <v>1</v>
      </c>
    </row>
    <row r="259" spans="1:24" x14ac:dyDescent="0.2">
      <c r="A259" s="19">
        <v>567149005</v>
      </c>
      <c r="B259" s="19" t="s">
        <v>556</v>
      </c>
      <c r="C259" s="19" t="s">
        <v>555</v>
      </c>
      <c r="D259" s="19" t="s">
        <v>523</v>
      </c>
      <c r="E259" s="19" t="s">
        <v>1778</v>
      </c>
      <c r="F259" s="19">
        <v>508804198</v>
      </c>
      <c r="G259" s="19">
        <v>4</v>
      </c>
      <c r="H259" s="19">
        <v>4</v>
      </c>
      <c r="I259" s="19">
        <v>1897</v>
      </c>
      <c r="J259" s="25">
        <v>0.98418600000000001</v>
      </c>
      <c r="K259" s="26">
        <v>119.99663199999996</v>
      </c>
      <c r="L259" s="26">
        <v>11320</v>
      </c>
      <c r="M259" s="26">
        <v>9</v>
      </c>
      <c r="N259" s="26">
        <v>8</v>
      </c>
      <c r="O259" s="27">
        <v>17</v>
      </c>
      <c r="P259" s="19">
        <v>12</v>
      </c>
      <c r="Q259" s="19">
        <v>1</v>
      </c>
      <c r="R259" s="19" t="s">
        <v>431</v>
      </c>
      <c r="S259" s="26">
        <v>0</v>
      </c>
      <c r="T259" s="28" t="s">
        <v>1933</v>
      </c>
      <c r="U259" s="19" t="s">
        <v>393</v>
      </c>
      <c r="V259" s="19" t="s">
        <v>431</v>
      </c>
      <c r="X259" t="b">
        <f>VLOOKUP(B259,'M10B Order'!B:F,5,FALSE)=W259</f>
        <v>1</v>
      </c>
    </row>
    <row r="260" spans="1:24" x14ac:dyDescent="0.2">
      <c r="A260" s="19">
        <v>567148967</v>
      </c>
      <c r="B260" s="19" t="s">
        <v>563</v>
      </c>
      <c r="C260" s="19" t="s">
        <v>562</v>
      </c>
      <c r="D260" s="19" t="s">
        <v>523</v>
      </c>
      <c r="E260" s="19" t="s">
        <v>1778</v>
      </c>
      <c r="F260" s="19">
        <v>508804198</v>
      </c>
      <c r="G260" s="19">
        <v>4</v>
      </c>
      <c r="H260" s="19">
        <v>4</v>
      </c>
      <c r="I260" s="19">
        <v>800</v>
      </c>
      <c r="J260" s="25">
        <v>0.98750000000000004</v>
      </c>
      <c r="K260" s="26">
        <v>39.999999999999858</v>
      </c>
      <c r="L260" s="26">
        <v>908</v>
      </c>
      <c r="M260" s="26">
        <v>9</v>
      </c>
      <c r="N260" s="26">
        <v>8</v>
      </c>
      <c r="O260" s="27">
        <v>17</v>
      </c>
      <c r="P260" s="19">
        <v>12</v>
      </c>
      <c r="Q260" s="19">
        <v>1</v>
      </c>
      <c r="R260" s="19" t="s">
        <v>431</v>
      </c>
      <c r="S260" s="26">
        <v>0</v>
      </c>
      <c r="T260" s="28">
        <v>25</v>
      </c>
      <c r="U260" s="19" t="s">
        <v>220</v>
      </c>
      <c r="V260" s="19" t="s">
        <v>431</v>
      </c>
      <c r="X260" t="b">
        <f>VLOOKUP(B260,'M10B Order'!B:F,5,FALSE)=W260</f>
        <v>1</v>
      </c>
    </row>
    <row r="261" spans="1:24" x14ac:dyDescent="0.2">
      <c r="A261" s="19">
        <v>567148879</v>
      </c>
      <c r="B261" s="19" t="s">
        <v>567</v>
      </c>
      <c r="C261" s="19" t="s">
        <v>566</v>
      </c>
      <c r="D261" s="19" t="s">
        <v>523</v>
      </c>
      <c r="E261" s="19" t="s">
        <v>1778</v>
      </c>
      <c r="F261" s="19">
        <v>508804198</v>
      </c>
      <c r="G261" s="19">
        <v>4</v>
      </c>
      <c r="H261" s="19">
        <v>4</v>
      </c>
      <c r="I261" s="19">
        <v>393</v>
      </c>
      <c r="J261" s="25">
        <v>0.98727699999999996</v>
      </c>
      <c r="K261" s="26">
        <v>20.000556000000064</v>
      </c>
      <c r="L261" s="26">
        <v>1808</v>
      </c>
      <c r="M261" s="26">
        <v>9</v>
      </c>
      <c r="N261" s="26">
        <v>8</v>
      </c>
      <c r="O261" s="27">
        <v>17</v>
      </c>
      <c r="P261" s="19">
        <v>12</v>
      </c>
      <c r="Q261" s="19">
        <v>1</v>
      </c>
      <c r="R261" s="19" t="s">
        <v>431</v>
      </c>
      <c r="S261" s="26">
        <v>0</v>
      </c>
      <c r="T261" s="28">
        <v>25</v>
      </c>
      <c r="U261" s="19" t="s">
        <v>125</v>
      </c>
      <c r="V261" s="19" t="s">
        <v>431</v>
      </c>
      <c r="X261" t="b">
        <f>VLOOKUP(B261,'M10B Order'!B:F,5,FALSE)=W261</f>
        <v>1</v>
      </c>
    </row>
    <row r="262" spans="1:24" x14ac:dyDescent="0.2">
      <c r="A262" s="19">
        <v>567148818</v>
      </c>
      <c r="B262" s="19" t="s">
        <v>575</v>
      </c>
      <c r="C262" s="19" t="s">
        <v>574</v>
      </c>
      <c r="D262" s="19" t="s">
        <v>523</v>
      </c>
      <c r="E262" s="19" t="s">
        <v>1778</v>
      </c>
      <c r="F262" s="19">
        <v>508804198</v>
      </c>
      <c r="G262" s="19">
        <v>4</v>
      </c>
      <c r="H262" s="19">
        <v>4</v>
      </c>
      <c r="I262" s="19">
        <v>1897</v>
      </c>
      <c r="J262" s="25">
        <v>0.99156599999999995</v>
      </c>
      <c r="K262" s="26">
        <v>63.997192000000396</v>
      </c>
      <c r="L262" s="26">
        <v>6924</v>
      </c>
      <c r="M262" s="26">
        <v>9</v>
      </c>
      <c r="N262" s="26">
        <v>8</v>
      </c>
      <c r="O262" s="27">
        <v>17</v>
      </c>
      <c r="P262" s="19">
        <v>12</v>
      </c>
      <c r="Q262" s="19">
        <v>1</v>
      </c>
      <c r="R262" s="19" t="s">
        <v>431</v>
      </c>
      <c r="S262" s="26">
        <v>0</v>
      </c>
      <c r="T262" s="28">
        <v>18</v>
      </c>
      <c r="U262" s="19" t="s">
        <v>510</v>
      </c>
      <c r="V262" s="19">
        <v>559.2183279999997</v>
      </c>
      <c r="X262" t="b">
        <f>VLOOKUP(B262,'M10B Order'!B:F,5,FALSE)=W262</f>
        <v>1</v>
      </c>
    </row>
    <row r="263" spans="1:24" x14ac:dyDescent="0.2">
      <c r="A263" s="19">
        <v>567148835</v>
      </c>
      <c r="B263" s="19" t="s">
        <v>581</v>
      </c>
      <c r="C263" s="19" t="s">
        <v>580</v>
      </c>
      <c r="D263" s="19" t="s">
        <v>523</v>
      </c>
      <c r="E263" s="19" t="s">
        <v>1778</v>
      </c>
      <c r="F263" s="19">
        <v>508804198</v>
      </c>
      <c r="G263" s="19">
        <v>4</v>
      </c>
      <c r="H263" s="19">
        <v>4</v>
      </c>
      <c r="I263" s="19">
        <v>393</v>
      </c>
      <c r="J263" s="25">
        <v>0.97201000000000004</v>
      </c>
      <c r="K263" s="26">
        <v>44.000279999999933</v>
      </c>
      <c r="L263" s="26">
        <v>1852</v>
      </c>
      <c r="M263" s="26">
        <v>9</v>
      </c>
      <c r="N263" s="26">
        <v>8</v>
      </c>
      <c r="O263" s="27">
        <v>17</v>
      </c>
      <c r="P263" s="19">
        <v>12</v>
      </c>
      <c r="Q263" s="19">
        <v>1</v>
      </c>
      <c r="R263" s="19" t="s">
        <v>431</v>
      </c>
      <c r="S263" s="26">
        <v>0</v>
      </c>
      <c r="T263" s="28">
        <v>24</v>
      </c>
      <c r="U263" s="19" t="s">
        <v>384</v>
      </c>
      <c r="V263" s="19" t="s">
        <v>431</v>
      </c>
      <c r="X263" t="b">
        <f>VLOOKUP(B263,'M10B Order'!B:F,5,FALSE)=W263</f>
        <v>1</v>
      </c>
    </row>
    <row r="264" spans="1:24" x14ac:dyDescent="0.2">
      <c r="A264" s="19">
        <v>567148875</v>
      </c>
      <c r="B264" s="19" t="s">
        <v>583</v>
      </c>
      <c r="C264" s="19" t="s">
        <v>582</v>
      </c>
      <c r="D264" s="19" t="s">
        <v>523</v>
      </c>
      <c r="E264" s="19" t="s">
        <v>1778</v>
      </c>
      <c r="F264" s="19">
        <v>508804198</v>
      </c>
      <c r="G264" s="19">
        <v>4</v>
      </c>
      <c r="H264" s="19">
        <v>4</v>
      </c>
      <c r="I264" s="19">
        <v>393</v>
      </c>
      <c r="J264" s="25">
        <v>0.96946600000000005</v>
      </c>
      <c r="K264" s="26">
        <v>47.999447999999923</v>
      </c>
      <c r="L264" s="26">
        <v>1104</v>
      </c>
      <c r="M264" s="26">
        <v>9</v>
      </c>
      <c r="N264" s="26">
        <v>8</v>
      </c>
      <c r="O264" s="27">
        <v>17</v>
      </c>
      <c r="P264" s="19">
        <v>12</v>
      </c>
      <c r="Q264" s="19">
        <v>1</v>
      </c>
      <c r="R264" s="19" t="s">
        <v>431</v>
      </c>
      <c r="S264" s="26">
        <v>0</v>
      </c>
      <c r="T264" s="28" t="s">
        <v>1933</v>
      </c>
      <c r="U264" s="19" t="s">
        <v>190</v>
      </c>
      <c r="V264" s="19" t="s">
        <v>431</v>
      </c>
      <c r="X264" t="b">
        <f>VLOOKUP(B264,'M10B Order'!B:F,5,FALSE)=W264</f>
        <v>1</v>
      </c>
    </row>
    <row r="265" spans="1:24" x14ac:dyDescent="0.2">
      <c r="A265" s="19">
        <v>567148891</v>
      </c>
      <c r="B265" s="19" t="s">
        <v>585</v>
      </c>
      <c r="C265" s="19" t="s">
        <v>584</v>
      </c>
      <c r="D265" s="19" t="s">
        <v>523</v>
      </c>
      <c r="E265" s="19" t="s">
        <v>1778</v>
      </c>
      <c r="F265" s="19">
        <v>508804198</v>
      </c>
      <c r="G265" s="19">
        <v>4</v>
      </c>
      <c r="H265" s="19">
        <v>4</v>
      </c>
      <c r="I265" s="19">
        <v>2230</v>
      </c>
      <c r="J265" s="25">
        <v>0.92735400000000001</v>
      </c>
      <c r="K265" s="26">
        <v>648.00231999999994</v>
      </c>
      <c r="L265" s="26">
        <v>1320</v>
      </c>
      <c r="M265" s="26">
        <v>9</v>
      </c>
      <c r="N265" s="26">
        <v>8</v>
      </c>
      <c r="O265" s="27">
        <v>17</v>
      </c>
      <c r="P265" s="19">
        <v>12</v>
      </c>
      <c r="Q265" s="19">
        <v>1</v>
      </c>
      <c r="R265" s="19" t="s">
        <v>431</v>
      </c>
      <c r="S265" s="26">
        <v>0</v>
      </c>
      <c r="T265" s="28">
        <v>16</v>
      </c>
      <c r="U265" s="19" t="s">
        <v>403</v>
      </c>
      <c r="V265" s="19" t="s">
        <v>431</v>
      </c>
      <c r="X265" t="b">
        <f>VLOOKUP(B265,'M10B Order'!B:F,5,FALSE)=W265</f>
        <v>1</v>
      </c>
    </row>
    <row r="266" spans="1:24" x14ac:dyDescent="0.2">
      <c r="A266" s="19">
        <v>567148872</v>
      </c>
      <c r="B266" s="19" t="s">
        <v>587</v>
      </c>
      <c r="C266" s="19" t="s">
        <v>586</v>
      </c>
      <c r="D266" s="19" t="s">
        <v>523</v>
      </c>
      <c r="E266" s="19" t="s">
        <v>1778</v>
      </c>
      <c r="F266" s="19">
        <v>508804198</v>
      </c>
      <c r="G266" s="19">
        <v>4</v>
      </c>
      <c r="H266" s="19">
        <v>4</v>
      </c>
      <c r="I266" s="19">
        <v>2230</v>
      </c>
      <c r="J266" s="25">
        <v>0.86053800000000003</v>
      </c>
      <c r="K266" s="26">
        <v>1244.0010399999999</v>
      </c>
      <c r="L266" s="26">
        <v>796</v>
      </c>
      <c r="M266" s="26">
        <v>9</v>
      </c>
      <c r="N266" s="26">
        <v>8</v>
      </c>
      <c r="O266" s="27">
        <v>17</v>
      </c>
      <c r="P266" s="19">
        <v>12</v>
      </c>
      <c r="Q266" s="19">
        <v>1</v>
      </c>
      <c r="R266" s="19" t="s">
        <v>431</v>
      </c>
      <c r="S266" s="26">
        <v>0</v>
      </c>
      <c r="T266" s="28">
        <v>15</v>
      </c>
      <c r="U266" s="19" t="s">
        <v>395</v>
      </c>
      <c r="V266" s="19" t="s">
        <v>431</v>
      </c>
      <c r="X266" t="b">
        <f>VLOOKUP(B266,'M10B Order'!B:F,5,FALSE)=W266</f>
        <v>1</v>
      </c>
    </row>
    <row r="267" spans="1:24" x14ac:dyDescent="0.2">
      <c r="A267" s="19">
        <v>567148865</v>
      </c>
      <c r="B267" s="19" t="s">
        <v>591</v>
      </c>
      <c r="C267" s="19" t="s">
        <v>590</v>
      </c>
      <c r="D267" s="19" t="s">
        <v>523</v>
      </c>
      <c r="E267" s="19" t="s">
        <v>1778</v>
      </c>
      <c r="F267" s="19">
        <v>508804198</v>
      </c>
      <c r="G267" s="19">
        <v>4</v>
      </c>
      <c r="H267" s="19">
        <v>4</v>
      </c>
      <c r="I267" s="19">
        <v>829</v>
      </c>
      <c r="J267" s="25">
        <v>0.98673100000000002</v>
      </c>
      <c r="K267" s="26">
        <v>44.000003999999919</v>
      </c>
      <c r="L267" s="26">
        <v>4516</v>
      </c>
      <c r="M267" s="26">
        <v>9</v>
      </c>
      <c r="N267" s="26">
        <v>8</v>
      </c>
      <c r="O267" s="27">
        <v>17</v>
      </c>
      <c r="P267" s="19">
        <v>12</v>
      </c>
      <c r="Q267" s="19">
        <v>1</v>
      </c>
      <c r="R267" s="19" t="s">
        <v>431</v>
      </c>
      <c r="S267" s="26">
        <v>0</v>
      </c>
      <c r="T267" s="28" t="s">
        <v>1933</v>
      </c>
      <c r="U267" s="19" t="s">
        <v>131</v>
      </c>
      <c r="V267" s="19" t="s">
        <v>431</v>
      </c>
      <c r="X267" t="b">
        <f>VLOOKUP(B267,'M10B Order'!B:F,5,FALSE)=W267</f>
        <v>1</v>
      </c>
    </row>
    <row r="268" spans="1:24" x14ac:dyDescent="0.2">
      <c r="A268" s="19">
        <v>567240466</v>
      </c>
      <c r="B268" s="19" t="s">
        <v>602</v>
      </c>
      <c r="C268" s="19" t="s">
        <v>601</v>
      </c>
      <c r="D268" s="19" t="s">
        <v>523</v>
      </c>
      <c r="E268" s="19" t="s">
        <v>1778</v>
      </c>
      <c r="F268" s="19">
        <v>508804198</v>
      </c>
      <c r="G268" s="19">
        <v>4</v>
      </c>
      <c r="H268" s="19">
        <v>4</v>
      </c>
      <c r="I268" s="19">
        <v>1845</v>
      </c>
      <c r="J268" s="25">
        <v>0.98265599999999997</v>
      </c>
      <c r="K268" s="26">
        <v>127.99872000000019</v>
      </c>
      <c r="L268" s="26">
        <v>2900</v>
      </c>
      <c r="M268" s="26">
        <v>9</v>
      </c>
      <c r="N268" s="26">
        <v>8</v>
      </c>
      <c r="O268" s="27">
        <v>17</v>
      </c>
      <c r="P268" s="19">
        <v>12</v>
      </c>
      <c r="Q268" s="19">
        <v>1</v>
      </c>
      <c r="R268" s="19" t="s">
        <v>431</v>
      </c>
      <c r="S268" s="26">
        <v>0</v>
      </c>
      <c r="T268" s="28">
        <v>19</v>
      </c>
      <c r="U268" s="19" t="s">
        <v>170</v>
      </c>
      <c r="V268" s="19" t="s">
        <v>431</v>
      </c>
      <c r="X268" t="b">
        <f>VLOOKUP(B268,'M10B Order'!B:F,5,FALSE)=W268</f>
        <v>1</v>
      </c>
    </row>
    <row r="269" spans="1:24" x14ac:dyDescent="0.2">
      <c r="A269" s="19">
        <v>567240469</v>
      </c>
      <c r="B269" s="19" t="s">
        <v>604</v>
      </c>
      <c r="C269" s="19" t="s">
        <v>603</v>
      </c>
      <c r="D269" s="19" t="s">
        <v>523</v>
      </c>
      <c r="E269" s="19" t="s">
        <v>1778</v>
      </c>
      <c r="F269" s="19">
        <v>508804198</v>
      </c>
      <c r="G269" s="19">
        <v>4</v>
      </c>
      <c r="H269" s="19">
        <v>4</v>
      </c>
      <c r="I269" s="19">
        <v>393</v>
      </c>
      <c r="J269" s="25">
        <v>0.99236599999999997</v>
      </c>
      <c r="K269" s="26">
        <v>12.000648000000046</v>
      </c>
      <c r="L269" s="26">
        <v>1532</v>
      </c>
      <c r="M269" s="26">
        <v>9</v>
      </c>
      <c r="N269" s="26">
        <v>8</v>
      </c>
      <c r="O269" s="27">
        <v>17</v>
      </c>
      <c r="P269" s="19">
        <v>12</v>
      </c>
      <c r="Q269" s="19">
        <v>1</v>
      </c>
      <c r="R269" s="19" t="s">
        <v>431</v>
      </c>
      <c r="S269" s="26">
        <v>0</v>
      </c>
      <c r="T269" s="28" t="s">
        <v>1933</v>
      </c>
      <c r="U269" s="19" t="s">
        <v>276</v>
      </c>
      <c r="V269" s="19" t="s">
        <v>431</v>
      </c>
      <c r="X269" t="b">
        <f>VLOOKUP(B269,'M10B Order'!B:F,5,FALSE)=W269</f>
        <v>1</v>
      </c>
    </row>
    <row r="270" spans="1:24" x14ac:dyDescent="0.2">
      <c r="A270" s="19">
        <v>569033501</v>
      </c>
      <c r="B270" s="19" t="s">
        <v>719</v>
      </c>
      <c r="C270" s="19" t="s">
        <v>720</v>
      </c>
      <c r="D270" s="19" t="s">
        <v>523</v>
      </c>
      <c r="E270" s="19" t="s">
        <v>1778</v>
      </c>
      <c r="F270" s="19">
        <v>508804198</v>
      </c>
      <c r="G270" s="19">
        <v>3</v>
      </c>
      <c r="H270" s="19">
        <v>3</v>
      </c>
      <c r="I270" s="19">
        <v>829</v>
      </c>
      <c r="J270" s="25">
        <v>0.98431800000000003</v>
      </c>
      <c r="K270" s="26">
        <v>39.001133999999936</v>
      </c>
      <c r="L270" s="26">
        <v>2880</v>
      </c>
      <c r="M270" s="26">
        <v>9</v>
      </c>
      <c r="N270" s="26">
        <v>8</v>
      </c>
      <c r="O270" s="27">
        <v>17</v>
      </c>
      <c r="P270" s="19">
        <v>12</v>
      </c>
      <c r="Q270" s="19">
        <v>1</v>
      </c>
      <c r="R270" s="19" t="s">
        <v>431</v>
      </c>
      <c r="S270" s="26">
        <v>0</v>
      </c>
      <c r="T270" s="28">
        <v>19</v>
      </c>
      <c r="U270" s="19" t="s">
        <v>954</v>
      </c>
      <c r="V270" s="19">
        <v>0</v>
      </c>
      <c r="X270" t="b">
        <f>VLOOKUP(B270,'M10B Order'!B:F,5,FALSE)=W270</f>
        <v>1</v>
      </c>
    </row>
    <row r="271" spans="1:24" x14ac:dyDescent="0.2">
      <c r="A271" s="19">
        <v>569033509</v>
      </c>
      <c r="B271" s="19" t="s">
        <v>717</v>
      </c>
      <c r="C271" s="19" t="s">
        <v>718</v>
      </c>
      <c r="D271" s="19" t="s">
        <v>523</v>
      </c>
      <c r="E271" s="19" t="s">
        <v>1778</v>
      </c>
      <c r="F271" s="19">
        <v>508804198</v>
      </c>
      <c r="G271" s="19">
        <v>3</v>
      </c>
      <c r="H271" s="19">
        <v>3</v>
      </c>
      <c r="I271" s="19">
        <v>393</v>
      </c>
      <c r="J271" s="25">
        <v>0.98727699999999996</v>
      </c>
      <c r="K271" s="26">
        <v>15.000417000000047</v>
      </c>
      <c r="L271" s="26">
        <v>3078</v>
      </c>
      <c r="M271" s="26">
        <v>9</v>
      </c>
      <c r="N271" s="26">
        <v>8</v>
      </c>
      <c r="O271" s="27">
        <v>17</v>
      </c>
      <c r="P271" s="19">
        <v>12</v>
      </c>
      <c r="Q271" s="19">
        <v>1</v>
      </c>
      <c r="R271" s="19" t="s">
        <v>431</v>
      </c>
      <c r="S271" s="26">
        <v>0</v>
      </c>
      <c r="T271" s="28" t="s">
        <v>1933</v>
      </c>
      <c r="U271" s="19" t="s">
        <v>944</v>
      </c>
      <c r="V271" s="19">
        <v>1107.876152</v>
      </c>
      <c r="X271" t="b">
        <f>VLOOKUP(B271,'M10B Order'!B:F,5,FALSE)=W271</f>
        <v>1</v>
      </c>
    </row>
    <row r="272" spans="1:24" x14ac:dyDescent="0.2">
      <c r="A272" s="19">
        <v>569033508</v>
      </c>
      <c r="B272" s="19" t="s">
        <v>753</v>
      </c>
      <c r="C272" s="19" t="s">
        <v>754</v>
      </c>
      <c r="D272" s="19" t="s">
        <v>523</v>
      </c>
      <c r="E272" s="19" t="s">
        <v>1778</v>
      </c>
      <c r="F272" s="19">
        <v>508804198</v>
      </c>
      <c r="G272" s="19">
        <v>3</v>
      </c>
      <c r="H272" s="19">
        <v>3</v>
      </c>
      <c r="I272" s="19">
        <v>1897</v>
      </c>
      <c r="J272" s="25">
        <v>0.98945700000000003</v>
      </c>
      <c r="K272" s="26">
        <v>60.000212999999825</v>
      </c>
      <c r="L272" s="26">
        <v>9936</v>
      </c>
      <c r="M272" s="26">
        <v>9</v>
      </c>
      <c r="N272" s="26">
        <v>8</v>
      </c>
      <c r="O272" s="27">
        <v>17</v>
      </c>
      <c r="P272" s="19">
        <v>12</v>
      </c>
      <c r="Q272" s="19">
        <v>1</v>
      </c>
      <c r="R272" s="19" t="s">
        <v>431</v>
      </c>
      <c r="S272" s="26">
        <v>0</v>
      </c>
      <c r="T272" s="28" t="s">
        <v>1933</v>
      </c>
      <c r="U272" s="19" t="s">
        <v>882</v>
      </c>
      <c r="V272" s="19">
        <v>0</v>
      </c>
      <c r="X272" t="b">
        <f>VLOOKUP(B272,'M10B Order'!B:F,5,FALSE)=W272</f>
        <v>1</v>
      </c>
    </row>
    <row r="273" spans="1:24" x14ac:dyDescent="0.2">
      <c r="A273" s="19">
        <v>569042329</v>
      </c>
      <c r="B273" s="19" t="s">
        <v>708</v>
      </c>
      <c r="C273" s="19" t="s">
        <v>709</v>
      </c>
      <c r="D273" s="19" t="s">
        <v>523</v>
      </c>
      <c r="E273" s="19" t="s">
        <v>1778</v>
      </c>
      <c r="F273" s="19">
        <v>508804198</v>
      </c>
      <c r="G273" s="19">
        <v>3</v>
      </c>
      <c r="H273" s="19">
        <v>3</v>
      </c>
      <c r="I273" s="19">
        <v>2230</v>
      </c>
      <c r="J273" s="25">
        <v>0.90179399999999998</v>
      </c>
      <c r="K273" s="26">
        <v>656.99814000000015</v>
      </c>
      <c r="L273" s="26">
        <v>1440</v>
      </c>
      <c r="M273" s="26">
        <v>9</v>
      </c>
      <c r="N273" s="26">
        <v>8</v>
      </c>
      <c r="O273" s="27">
        <v>17</v>
      </c>
      <c r="P273" s="19">
        <v>12</v>
      </c>
      <c r="Q273" s="19">
        <v>1</v>
      </c>
      <c r="R273" s="19" t="s">
        <v>431</v>
      </c>
      <c r="S273" s="26">
        <v>0</v>
      </c>
      <c r="T273" s="28">
        <v>14</v>
      </c>
      <c r="U273" s="19" t="s">
        <v>924</v>
      </c>
      <c r="V273" s="19">
        <v>190.60674399999988</v>
      </c>
      <c r="X273" t="b">
        <f>VLOOKUP(B273,'M10B Order'!B:F,5,FALSE)=W273</f>
        <v>1</v>
      </c>
    </row>
    <row r="274" spans="1:24" x14ac:dyDescent="0.2">
      <c r="A274" s="19">
        <v>569042325</v>
      </c>
      <c r="B274" s="19" t="s">
        <v>745</v>
      </c>
      <c r="C274" s="19" t="s">
        <v>746</v>
      </c>
      <c r="D274" s="19" t="s">
        <v>523</v>
      </c>
      <c r="E274" s="19" t="s">
        <v>1778</v>
      </c>
      <c r="F274" s="19">
        <v>508804198</v>
      </c>
      <c r="G274" s="19">
        <v>3</v>
      </c>
      <c r="H274" s="19">
        <v>3</v>
      </c>
      <c r="I274" s="19">
        <v>800</v>
      </c>
      <c r="J274" s="25">
        <v>0.98875000000000002</v>
      </c>
      <c r="K274" s="26">
        <v>26.999999999999957</v>
      </c>
      <c r="L274" s="26">
        <v>4491</v>
      </c>
      <c r="M274" s="26">
        <v>9</v>
      </c>
      <c r="N274" s="26">
        <v>8</v>
      </c>
      <c r="O274" s="27">
        <v>17</v>
      </c>
      <c r="P274" s="19">
        <v>12</v>
      </c>
      <c r="Q274" s="19">
        <v>1</v>
      </c>
      <c r="R274" s="19" t="s">
        <v>431</v>
      </c>
      <c r="S274" s="26">
        <v>0</v>
      </c>
      <c r="T274" s="28">
        <v>28</v>
      </c>
      <c r="U274" s="19" t="s">
        <v>912</v>
      </c>
      <c r="V274" s="19">
        <v>0</v>
      </c>
      <c r="X274" t="b">
        <f>VLOOKUP(B274,'M10B Order'!B:F,5,FALSE)=W274</f>
        <v>1</v>
      </c>
    </row>
    <row r="275" spans="1:24" x14ac:dyDescent="0.2">
      <c r="A275" s="19">
        <v>569033510</v>
      </c>
      <c r="B275" s="19" t="s">
        <v>743</v>
      </c>
      <c r="C275" s="19" t="s">
        <v>744</v>
      </c>
      <c r="D275" s="19" t="s">
        <v>523</v>
      </c>
      <c r="E275" s="19" t="s">
        <v>1778</v>
      </c>
      <c r="F275" s="19">
        <v>508804198</v>
      </c>
      <c r="G275" s="19">
        <v>3</v>
      </c>
      <c r="H275" s="19">
        <v>3</v>
      </c>
      <c r="I275" s="19">
        <v>1440</v>
      </c>
      <c r="J275" s="25">
        <v>0.98958299999999999</v>
      </c>
      <c r="K275" s="26">
        <v>45.001440000000045</v>
      </c>
      <c r="L275" s="26">
        <v>7533</v>
      </c>
      <c r="M275" s="26">
        <v>9</v>
      </c>
      <c r="N275" s="26">
        <v>8</v>
      </c>
      <c r="O275" s="27">
        <v>17</v>
      </c>
      <c r="P275" s="19">
        <v>12</v>
      </c>
      <c r="Q275" s="19">
        <v>1</v>
      </c>
      <c r="R275" s="19" t="s">
        <v>431</v>
      </c>
      <c r="S275" s="26">
        <v>0</v>
      </c>
      <c r="T275" s="28" t="s">
        <v>1933</v>
      </c>
      <c r="U275" s="19" t="s">
        <v>910</v>
      </c>
      <c r="V275" s="19">
        <v>336.48215999999957</v>
      </c>
      <c r="X275" t="b">
        <f>VLOOKUP(B275,'M10B Order'!B:F,5,FALSE)=W275</f>
        <v>1</v>
      </c>
    </row>
    <row r="276" spans="1:24" x14ac:dyDescent="0.2">
      <c r="A276" s="19">
        <v>569033514</v>
      </c>
      <c r="B276" s="19" t="s">
        <v>741</v>
      </c>
      <c r="C276" s="19" t="s">
        <v>742</v>
      </c>
      <c r="D276" s="19" t="s">
        <v>523</v>
      </c>
      <c r="E276" s="19" t="s">
        <v>1778</v>
      </c>
      <c r="F276" s="19">
        <v>508804198</v>
      </c>
      <c r="G276" s="19">
        <v>3</v>
      </c>
      <c r="H276" s="19">
        <v>3</v>
      </c>
      <c r="I276" s="19">
        <v>2230</v>
      </c>
      <c r="J276" s="25">
        <v>0.98834100000000003</v>
      </c>
      <c r="K276" s="26">
        <v>77.998709999999832</v>
      </c>
      <c r="L276" s="26">
        <v>10338</v>
      </c>
      <c r="M276" s="26">
        <v>9</v>
      </c>
      <c r="N276" s="26">
        <v>8</v>
      </c>
      <c r="O276" s="27">
        <v>17</v>
      </c>
      <c r="P276" s="19">
        <v>12</v>
      </c>
      <c r="Q276" s="19">
        <v>1</v>
      </c>
      <c r="R276" s="19" t="s">
        <v>431</v>
      </c>
      <c r="S276" s="26">
        <v>0</v>
      </c>
      <c r="T276" s="28" t="s">
        <v>1933</v>
      </c>
      <c r="U276" s="19" t="s">
        <v>908</v>
      </c>
      <c r="V276" s="19">
        <v>0</v>
      </c>
      <c r="X276" t="b">
        <f>VLOOKUP(B276,'M10B Order'!B:F,5,FALSE)=W276</f>
        <v>1</v>
      </c>
    </row>
    <row r="277" spans="1:24" x14ac:dyDescent="0.2">
      <c r="A277" s="19">
        <v>569033511</v>
      </c>
      <c r="B277" s="19" t="s">
        <v>697</v>
      </c>
      <c r="C277" s="19" t="s">
        <v>698</v>
      </c>
      <c r="D277" s="19" t="s">
        <v>523</v>
      </c>
      <c r="E277" s="19" t="s">
        <v>1778</v>
      </c>
      <c r="F277" s="19">
        <v>508804198</v>
      </c>
      <c r="G277" s="19">
        <v>3</v>
      </c>
      <c r="H277" s="19">
        <v>3</v>
      </c>
      <c r="I277" s="19">
        <v>2389</v>
      </c>
      <c r="J277" s="25">
        <v>0.97572199999999998</v>
      </c>
      <c r="K277" s="26">
        <v>174.00042600000015</v>
      </c>
      <c r="L277" s="26">
        <v>9324</v>
      </c>
      <c r="M277" s="26">
        <v>9</v>
      </c>
      <c r="N277" s="26">
        <v>8</v>
      </c>
      <c r="O277" s="27">
        <v>17</v>
      </c>
      <c r="P277" s="19">
        <v>12</v>
      </c>
      <c r="Q277" s="19">
        <v>1</v>
      </c>
      <c r="R277" s="19" t="s">
        <v>431</v>
      </c>
      <c r="S277" s="26">
        <v>0</v>
      </c>
      <c r="T277" s="28">
        <v>30</v>
      </c>
      <c r="U277" s="19" t="s">
        <v>876</v>
      </c>
      <c r="V277" s="19">
        <v>0</v>
      </c>
      <c r="X277" t="b">
        <f>VLOOKUP(B277,'M10B Order'!B:F,5,FALSE)=W277</f>
        <v>1</v>
      </c>
    </row>
    <row r="278" spans="1:24" x14ac:dyDescent="0.2">
      <c r="A278" s="19">
        <v>569042304</v>
      </c>
      <c r="B278" s="19" t="s">
        <v>695</v>
      </c>
      <c r="C278" s="19" t="s">
        <v>696</v>
      </c>
      <c r="D278" s="19" t="s">
        <v>523</v>
      </c>
      <c r="E278" s="19" t="s">
        <v>1778</v>
      </c>
      <c r="F278" s="19">
        <v>508804198</v>
      </c>
      <c r="G278" s="19">
        <v>3</v>
      </c>
      <c r="H278" s="19">
        <v>3</v>
      </c>
      <c r="I278" s="19">
        <v>829</v>
      </c>
      <c r="J278" s="25">
        <v>0.99276200000000003</v>
      </c>
      <c r="K278" s="26">
        <v>18.000905999999919</v>
      </c>
      <c r="L278" s="26">
        <v>7404</v>
      </c>
      <c r="M278" s="26">
        <v>9</v>
      </c>
      <c r="N278" s="26">
        <v>8</v>
      </c>
      <c r="O278" s="27">
        <v>17</v>
      </c>
      <c r="P278" s="19">
        <v>12</v>
      </c>
      <c r="Q278" s="19">
        <v>1</v>
      </c>
      <c r="R278" s="19" t="s">
        <v>431</v>
      </c>
      <c r="S278" s="26">
        <v>0</v>
      </c>
      <c r="T278" s="28" t="s">
        <v>1933</v>
      </c>
      <c r="U278" s="19" t="s">
        <v>946</v>
      </c>
      <c r="V278" s="19">
        <v>0</v>
      </c>
      <c r="X278" t="b">
        <f>VLOOKUP(B278,'M10B Order'!B:F,5,FALSE)=W278</f>
        <v>1</v>
      </c>
    </row>
    <row r="279" spans="1:24" x14ac:dyDescent="0.2">
      <c r="A279" s="19">
        <v>569042318</v>
      </c>
      <c r="B279" s="19" t="s">
        <v>693</v>
      </c>
      <c r="C279" s="19" t="s">
        <v>694</v>
      </c>
      <c r="D279" s="19" t="s">
        <v>523</v>
      </c>
      <c r="E279" s="19" t="s">
        <v>1778</v>
      </c>
      <c r="F279" s="19">
        <v>508804198</v>
      </c>
      <c r="G279" s="19">
        <v>3</v>
      </c>
      <c r="H279" s="19">
        <v>3</v>
      </c>
      <c r="I279" s="19">
        <v>393</v>
      </c>
      <c r="J279" s="25">
        <v>0.99236599999999997</v>
      </c>
      <c r="K279" s="26">
        <v>9.0004860000000342</v>
      </c>
      <c r="L279" s="26">
        <v>2970</v>
      </c>
      <c r="M279" s="26">
        <v>9</v>
      </c>
      <c r="N279" s="26">
        <v>8</v>
      </c>
      <c r="O279" s="27">
        <v>17</v>
      </c>
      <c r="P279" s="19">
        <v>12</v>
      </c>
      <c r="Q279" s="19">
        <v>1</v>
      </c>
      <c r="R279" s="19" t="s">
        <v>431</v>
      </c>
      <c r="S279" s="26">
        <v>0</v>
      </c>
      <c r="T279" s="28" t="s">
        <v>1933</v>
      </c>
      <c r="U279" s="19" t="s">
        <v>894</v>
      </c>
      <c r="V279" s="19">
        <v>0</v>
      </c>
      <c r="X279" t="b">
        <f>VLOOKUP(B279,'M10B Order'!B:F,5,FALSE)=W279</f>
        <v>1</v>
      </c>
    </row>
    <row r="280" spans="1:24" x14ac:dyDescent="0.2">
      <c r="A280" s="19">
        <v>569042301</v>
      </c>
      <c r="B280" s="19" t="s">
        <v>733</v>
      </c>
      <c r="C280" s="19" t="s">
        <v>734</v>
      </c>
      <c r="D280" s="19" t="s">
        <v>523</v>
      </c>
      <c r="E280" s="19" t="s">
        <v>1778</v>
      </c>
      <c r="F280" s="19">
        <v>508804198</v>
      </c>
      <c r="G280" s="19">
        <v>3</v>
      </c>
      <c r="H280" s="19">
        <v>3</v>
      </c>
      <c r="I280" s="19">
        <v>2230</v>
      </c>
      <c r="J280" s="25">
        <v>0.98475299999999999</v>
      </c>
      <c r="K280" s="26">
        <v>102.00243000000007</v>
      </c>
      <c r="L280" s="26">
        <v>3183</v>
      </c>
      <c r="M280" s="26">
        <v>9</v>
      </c>
      <c r="N280" s="26">
        <v>8</v>
      </c>
      <c r="O280" s="27">
        <v>17</v>
      </c>
      <c r="P280" s="19">
        <v>12</v>
      </c>
      <c r="Q280" s="19">
        <v>1</v>
      </c>
      <c r="R280" s="19" t="s">
        <v>431</v>
      </c>
      <c r="S280" s="26">
        <v>0</v>
      </c>
      <c r="T280" s="28">
        <v>14</v>
      </c>
      <c r="U280" s="19" t="s">
        <v>864</v>
      </c>
      <c r="V280" s="19">
        <v>1002.2993039999983</v>
      </c>
      <c r="X280" t="b">
        <f>VLOOKUP(B280,'M10B Order'!B:F,5,FALSE)=W280</f>
        <v>1</v>
      </c>
    </row>
    <row r="281" spans="1:24" x14ac:dyDescent="0.2">
      <c r="A281" s="29">
        <v>569033506</v>
      </c>
      <c r="B281" s="29" t="s">
        <v>731</v>
      </c>
      <c r="C281" s="29" t="s">
        <v>732</v>
      </c>
      <c r="D281" s="29" t="s">
        <v>523</v>
      </c>
      <c r="E281" s="29" t="s">
        <v>1778</v>
      </c>
      <c r="F281" s="29">
        <v>508804198</v>
      </c>
      <c r="G281" s="29">
        <v>3</v>
      </c>
      <c r="H281" s="29">
        <v>3</v>
      </c>
      <c r="I281" s="29">
        <v>2230</v>
      </c>
      <c r="J281" s="30">
        <v>0.98251100000000002</v>
      </c>
      <c r="K281" s="31">
        <v>117.00140999999985</v>
      </c>
      <c r="L281" s="31">
        <v>3723</v>
      </c>
      <c r="M281" s="31">
        <v>9</v>
      </c>
      <c r="N281" s="31">
        <v>8</v>
      </c>
      <c r="O281" s="32">
        <v>17</v>
      </c>
      <c r="P281" s="29">
        <v>12</v>
      </c>
      <c r="Q281" s="29">
        <v>1</v>
      </c>
      <c r="R281" s="29" t="s">
        <v>431</v>
      </c>
      <c r="S281" s="31">
        <v>0</v>
      </c>
      <c r="T281" s="33">
        <v>14</v>
      </c>
      <c r="U281" s="29" t="s">
        <v>431</v>
      </c>
      <c r="V281" s="29" t="s">
        <v>431</v>
      </c>
      <c r="X281" t="b">
        <f>VLOOKUP(B281,'M10B Order'!B:F,5,FALSE)=W281</f>
        <v>1</v>
      </c>
    </row>
    <row r="282" spans="1:24" x14ac:dyDescent="0.2">
      <c r="A282" s="19">
        <v>569023443</v>
      </c>
      <c r="B282" s="19" t="s">
        <v>729</v>
      </c>
      <c r="C282" s="19" t="s">
        <v>730</v>
      </c>
      <c r="D282" s="19" t="s">
        <v>523</v>
      </c>
      <c r="E282" s="19" t="s">
        <v>1778</v>
      </c>
      <c r="F282" s="19">
        <v>508804198</v>
      </c>
      <c r="G282" s="19">
        <v>3</v>
      </c>
      <c r="H282" s="19">
        <v>3</v>
      </c>
      <c r="I282" s="19">
        <v>800</v>
      </c>
      <c r="J282" s="25">
        <v>0.98124999999999996</v>
      </c>
      <c r="K282" s="26">
        <v>45.000000000000107</v>
      </c>
      <c r="L282" s="26">
        <v>4278</v>
      </c>
      <c r="M282" s="26">
        <v>9</v>
      </c>
      <c r="N282" s="26">
        <v>8</v>
      </c>
      <c r="O282" s="27">
        <v>17</v>
      </c>
      <c r="P282" s="19">
        <v>12</v>
      </c>
      <c r="Q282" s="19">
        <v>1</v>
      </c>
      <c r="R282" s="19" t="s">
        <v>431</v>
      </c>
      <c r="S282" s="26">
        <v>0</v>
      </c>
      <c r="T282" s="28">
        <v>21</v>
      </c>
      <c r="U282" s="19" t="s">
        <v>922</v>
      </c>
      <c r="V282" s="19">
        <v>0</v>
      </c>
      <c r="X282" t="b">
        <f>VLOOKUP(B282,'M10B Order'!B:F,5,FALSE)=W282</f>
        <v>1</v>
      </c>
    </row>
    <row r="283" spans="1:24" x14ac:dyDescent="0.2">
      <c r="A283" s="19">
        <v>569023437</v>
      </c>
      <c r="B283" s="19" t="s">
        <v>727</v>
      </c>
      <c r="C283" s="19" t="s">
        <v>728</v>
      </c>
      <c r="D283" s="19" t="s">
        <v>523</v>
      </c>
      <c r="E283" s="19" t="s">
        <v>1778</v>
      </c>
      <c r="F283" s="19">
        <v>508804198</v>
      </c>
      <c r="G283" s="19">
        <v>3</v>
      </c>
      <c r="H283" s="19">
        <v>3</v>
      </c>
      <c r="I283" s="19">
        <v>393</v>
      </c>
      <c r="J283" s="25">
        <v>0.98982199999999998</v>
      </c>
      <c r="K283" s="26">
        <v>11.999862000000023</v>
      </c>
      <c r="L283" s="26">
        <v>3615</v>
      </c>
      <c r="M283" s="26">
        <v>9</v>
      </c>
      <c r="N283" s="26">
        <v>8</v>
      </c>
      <c r="O283" s="27">
        <v>17</v>
      </c>
      <c r="P283" s="19">
        <v>12</v>
      </c>
      <c r="Q283" s="19">
        <v>1</v>
      </c>
      <c r="R283" s="19" t="s">
        <v>431</v>
      </c>
      <c r="S283" s="26">
        <v>0</v>
      </c>
      <c r="T283" s="28" t="s">
        <v>1933</v>
      </c>
      <c r="U283" s="19" t="s">
        <v>862</v>
      </c>
      <c r="V283" s="19" t="s">
        <v>431</v>
      </c>
      <c r="X283" t="b">
        <f>VLOOKUP(B283,'M10B Order'!B:F,5,FALSE)=W283</f>
        <v>1</v>
      </c>
    </row>
    <row r="284" spans="1:24" x14ac:dyDescent="0.2">
      <c r="A284" s="19">
        <v>573626629</v>
      </c>
      <c r="B284" s="19" t="s">
        <v>1011</v>
      </c>
      <c r="C284" s="19" t="s">
        <v>1012</v>
      </c>
      <c r="D284" s="19" t="s">
        <v>523</v>
      </c>
      <c r="E284" s="19" t="s">
        <v>1778</v>
      </c>
      <c r="F284" s="19">
        <v>508804198</v>
      </c>
      <c r="G284" s="19">
        <v>4</v>
      </c>
      <c r="H284" s="19">
        <v>4</v>
      </c>
      <c r="I284" s="19">
        <v>1897</v>
      </c>
      <c r="J284" s="25">
        <v>0.98049600000000003</v>
      </c>
      <c r="K284" s="26">
        <v>147.99635199999975</v>
      </c>
      <c r="L284" s="26">
        <v>9108</v>
      </c>
      <c r="M284" s="26">
        <v>9</v>
      </c>
      <c r="N284" s="26">
        <v>8</v>
      </c>
      <c r="O284" s="27">
        <v>17</v>
      </c>
      <c r="P284" s="19">
        <v>12</v>
      </c>
      <c r="Q284" s="19">
        <v>1</v>
      </c>
      <c r="R284" s="19" t="s">
        <v>431</v>
      </c>
      <c r="S284" s="26">
        <v>0</v>
      </c>
      <c r="T284" s="28">
        <v>20</v>
      </c>
      <c r="U284" s="19" t="s">
        <v>950</v>
      </c>
      <c r="V284" s="19">
        <v>0</v>
      </c>
      <c r="X284" t="b">
        <f>VLOOKUP(B284,'M10B Order'!B:F,5,FALSE)=W284</f>
        <v>1</v>
      </c>
    </row>
    <row r="285" spans="1:24" x14ac:dyDescent="0.2">
      <c r="A285" s="19">
        <v>573626619</v>
      </c>
      <c r="B285" s="19" t="s">
        <v>1006</v>
      </c>
      <c r="C285" s="19" t="s">
        <v>1007</v>
      </c>
      <c r="D285" s="19" t="s">
        <v>523</v>
      </c>
      <c r="E285" s="19" t="s">
        <v>1778</v>
      </c>
      <c r="F285" s="19">
        <v>508804198</v>
      </c>
      <c r="G285" s="19">
        <v>4</v>
      </c>
      <c r="H285" s="19">
        <v>4</v>
      </c>
      <c r="I285" s="19">
        <v>2230</v>
      </c>
      <c r="J285" s="25">
        <v>0.99282499999999996</v>
      </c>
      <c r="K285" s="26">
        <v>64.001000000000374</v>
      </c>
      <c r="L285" s="26">
        <v>17600</v>
      </c>
      <c r="M285" s="26">
        <v>9</v>
      </c>
      <c r="N285" s="26">
        <v>8</v>
      </c>
      <c r="O285" s="27">
        <v>17</v>
      </c>
      <c r="P285" s="19">
        <v>12</v>
      </c>
      <c r="Q285" s="19">
        <v>1</v>
      </c>
      <c r="R285" s="19" t="s">
        <v>431</v>
      </c>
      <c r="S285" s="26">
        <v>0</v>
      </c>
      <c r="T285" s="28" t="s">
        <v>1933</v>
      </c>
      <c r="U285" s="19" t="s">
        <v>431</v>
      </c>
      <c r="V285" s="19" t="s">
        <v>431</v>
      </c>
      <c r="X285" t="b">
        <f>VLOOKUP(B285,'M10B Order'!B:F,5,FALSE)=W285</f>
        <v>1</v>
      </c>
    </row>
    <row r="286" spans="1:24" x14ac:dyDescent="0.2">
      <c r="A286" s="19">
        <v>573626659</v>
      </c>
      <c r="B286" s="19" t="s">
        <v>1002</v>
      </c>
      <c r="C286" s="19" t="s">
        <v>1003</v>
      </c>
      <c r="D286" s="19" t="s">
        <v>523</v>
      </c>
      <c r="E286" s="19" t="s">
        <v>1778</v>
      </c>
      <c r="F286" s="19">
        <v>508804198</v>
      </c>
      <c r="G286" s="19">
        <v>4</v>
      </c>
      <c r="H286" s="19">
        <v>4</v>
      </c>
      <c r="I286" s="19">
        <v>393</v>
      </c>
      <c r="J286" s="25">
        <v>0.99491099999999999</v>
      </c>
      <c r="K286" s="26">
        <v>7.9999080000000156</v>
      </c>
      <c r="L286" s="26">
        <v>6692</v>
      </c>
      <c r="M286" s="26">
        <v>9</v>
      </c>
      <c r="N286" s="26">
        <v>8</v>
      </c>
      <c r="O286" s="27">
        <v>17</v>
      </c>
      <c r="P286" s="19">
        <v>12</v>
      </c>
      <c r="Q286" s="19">
        <v>1</v>
      </c>
      <c r="R286" s="19" t="s">
        <v>431</v>
      </c>
      <c r="S286" s="26">
        <v>0</v>
      </c>
      <c r="T286" s="28" t="s">
        <v>1933</v>
      </c>
      <c r="U286" s="19" t="s">
        <v>930</v>
      </c>
      <c r="V286" s="19" t="s">
        <v>431</v>
      </c>
      <c r="X286" t="b">
        <f>VLOOKUP(B286,'M10B Order'!B:F,5,FALSE)=W286</f>
        <v>1</v>
      </c>
    </row>
    <row r="287" spans="1:24" x14ac:dyDescent="0.2">
      <c r="A287" s="19">
        <v>573626656</v>
      </c>
      <c r="B287" s="19" t="s">
        <v>1000</v>
      </c>
      <c r="C287" s="19" t="s">
        <v>1001</v>
      </c>
      <c r="D287" s="19" t="s">
        <v>523</v>
      </c>
      <c r="E287" s="19" t="s">
        <v>1778</v>
      </c>
      <c r="F287" s="19">
        <v>508804198</v>
      </c>
      <c r="G287" s="19">
        <v>4</v>
      </c>
      <c r="H287" s="19">
        <v>4</v>
      </c>
      <c r="I287" s="19">
        <v>1845</v>
      </c>
      <c r="J287" s="25">
        <v>0.98645000000000005</v>
      </c>
      <c r="K287" s="26">
        <v>99.99899999999964</v>
      </c>
      <c r="L287" s="26">
        <v>10612</v>
      </c>
      <c r="M287" s="26">
        <v>9</v>
      </c>
      <c r="N287" s="26">
        <v>8</v>
      </c>
      <c r="O287" s="27">
        <v>17</v>
      </c>
      <c r="P287" s="19">
        <v>12</v>
      </c>
      <c r="Q287" s="19">
        <v>1</v>
      </c>
      <c r="R287" s="19" t="s">
        <v>431</v>
      </c>
      <c r="S287" s="26">
        <v>0</v>
      </c>
      <c r="T287" s="28" t="s">
        <v>1933</v>
      </c>
      <c r="U287" s="19" t="s">
        <v>928</v>
      </c>
      <c r="V287" s="19" t="s">
        <v>431</v>
      </c>
      <c r="X287" t="b">
        <f>VLOOKUP(B287,'M10B Order'!B:F,5,FALSE)=W287</f>
        <v>1</v>
      </c>
    </row>
    <row r="288" spans="1:24" x14ac:dyDescent="0.2">
      <c r="A288" s="19">
        <v>573626691</v>
      </c>
      <c r="B288" s="19" t="s">
        <v>998</v>
      </c>
      <c r="C288" s="19" t="s">
        <v>999</v>
      </c>
      <c r="D288" s="19" t="s">
        <v>523</v>
      </c>
      <c r="E288" s="19" t="s">
        <v>1778</v>
      </c>
      <c r="F288" s="19">
        <v>508804198</v>
      </c>
      <c r="G288" s="19">
        <v>4</v>
      </c>
      <c r="H288" s="19">
        <v>4</v>
      </c>
      <c r="I288" s="19">
        <v>1845</v>
      </c>
      <c r="J288" s="25">
        <v>0.988618</v>
      </c>
      <c r="K288" s="26">
        <v>83.999160000000018</v>
      </c>
      <c r="L288" s="26">
        <v>10828</v>
      </c>
      <c r="M288" s="26">
        <v>9</v>
      </c>
      <c r="N288" s="26">
        <v>8</v>
      </c>
      <c r="O288" s="27">
        <v>17</v>
      </c>
      <c r="P288" s="19">
        <v>12</v>
      </c>
      <c r="Q288" s="19">
        <v>1</v>
      </c>
      <c r="R288" s="19" t="s">
        <v>431</v>
      </c>
      <c r="S288" s="26">
        <v>0</v>
      </c>
      <c r="T288" s="28" t="s">
        <v>1933</v>
      </c>
      <c r="U288" s="19" t="s">
        <v>431</v>
      </c>
      <c r="V288" s="19" t="s">
        <v>431</v>
      </c>
      <c r="X288" t="b">
        <f>VLOOKUP(B288,'M10B Order'!B:F,5,FALSE)=W288</f>
        <v>1</v>
      </c>
    </row>
    <row r="289" spans="1:24" x14ac:dyDescent="0.2">
      <c r="A289" s="19">
        <v>573626603</v>
      </c>
      <c r="B289" s="19" t="s">
        <v>996</v>
      </c>
      <c r="C289" s="19" t="s">
        <v>997</v>
      </c>
      <c r="D289" s="19" t="s">
        <v>523</v>
      </c>
      <c r="E289" s="19" t="s">
        <v>1778</v>
      </c>
      <c r="F289" s="19">
        <v>508804198</v>
      </c>
      <c r="G289" s="19">
        <v>4</v>
      </c>
      <c r="H289" s="19">
        <v>4</v>
      </c>
      <c r="I289" s="19">
        <v>2230</v>
      </c>
      <c r="J289" s="25">
        <v>0.98923799999999995</v>
      </c>
      <c r="K289" s="26">
        <v>95.997040000000439</v>
      </c>
      <c r="L289" s="26">
        <v>12636</v>
      </c>
      <c r="M289" s="26">
        <v>9</v>
      </c>
      <c r="N289" s="26">
        <v>8</v>
      </c>
      <c r="O289" s="27">
        <v>17</v>
      </c>
      <c r="P289" s="19">
        <v>12</v>
      </c>
      <c r="Q289" s="19">
        <v>1</v>
      </c>
      <c r="R289" s="19" t="s">
        <v>431</v>
      </c>
      <c r="S289" s="26">
        <v>0</v>
      </c>
      <c r="T289" s="28" t="s">
        <v>1933</v>
      </c>
      <c r="U289" s="19" t="s">
        <v>904</v>
      </c>
      <c r="V289" s="19">
        <v>0</v>
      </c>
      <c r="X289" t="b">
        <f>VLOOKUP(B289,'M10B Order'!B:F,5,FALSE)=W289</f>
        <v>1</v>
      </c>
    </row>
    <row r="290" spans="1:24" x14ac:dyDescent="0.2">
      <c r="A290" s="19">
        <v>573626601</v>
      </c>
      <c r="B290" s="19" t="s">
        <v>993</v>
      </c>
      <c r="C290" s="19" t="s">
        <v>994</v>
      </c>
      <c r="D290" s="19" t="s">
        <v>523</v>
      </c>
      <c r="E290" s="19" t="s">
        <v>1778</v>
      </c>
      <c r="F290" s="19">
        <v>508804198</v>
      </c>
      <c r="G290" s="19">
        <v>4</v>
      </c>
      <c r="H290" s="19">
        <v>4</v>
      </c>
      <c r="I290" s="19">
        <v>1845</v>
      </c>
      <c r="J290" s="25">
        <v>0.98753400000000002</v>
      </c>
      <c r="K290" s="26">
        <v>91.999079999999836</v>
      </c>
      <c r="L290" s="26">
        <v>13184</v>
      </c>
      <c r="M290" s="26">
        <v>9</v>
      </c>
      <c r="N290" s="26">
        <v>8</v>
      </c>
      <c r="O290" s="27">
        <v>17</v>
      </c>
      <c r="P290" s="19">
        <v>12</v>
      </c>
      <c r="Q290" s="19">
        <v>1</v>
      </c>
      <c r="R290" s="19" t="s">
        <v>431</v>
      </c>
      <c r="S290" s="26">
        <v>0</v>
      </c>
      <c r="T290" s="28" t="s">
        <v>1933</v>
      </c>
      <c r="U290" s="19" t="s">
        <v>902</v>
      </c>
      <c r="V290" s="19">
        <v>0</v>
      </c>
      <c r="X290" t="b">
        <f>VLOOKUP(B290,'M10B Order'!B:F,5,FALSE)=W290</f>
        <v>1</v>
      </c>
    </row>
    <row r="291" spans="1:24" x14ac:dyDescent="0.2">
      <c r="A291" s="19">
        <v>573626599</v>
      </c>
      <c r="B291" s="19" t="s">
        <v>991</v>
      </c>
      <c r="C291" s="19" t="s">
        <v>992</v>
      </c>
      <c r="D291" s="19" t="s">
        <v>523</v>
      </c>
      <c r="E291" s="19" t="s">
        <v>1778</v>
      </c>
      <c r="F291" s="19">
        <v>508804198</v>
      </c>
      <c r="G291" s="19">
        <v>4</v>
      </c>
      <c r="H291" s="19">
        <v>4</v>
      </c>
      <c r="I291" s="19">
        <v>393</v>
      </c>
      <c r="J291" s="25">
        <v>0.99491099999999999</v>
      </c>
      <c r="K291" s="26">
        <v>7.9999080000000156</v>
      </c>
      <c r="L291" s="26">
        <v>6364</v>
      </c>
      <c r="M291" s="26">
        <v>9</v>
      </c>
      <c r="N291" s="26">
        <v>8</v>
      </c>
      <c r="O291" s="27">
        <v>17</v>
      </c>
      <c r="P291" s="19">
        <v>12</v>
      </c>
      <c r="Q291" s="19">
        <v>1</v>
      </c>
      <c r="R291" s="19" t="s">
        <v>431</v>
      </c>
      <c r="S291" s="26">
        <v>0</v>
      </c>
      <c r="T291" s="28" t="s">
        <v>1933</v>
      </c>
      <c r="U291" s="19" t="s">
        <v>900</v>
      </c>
      <c r="V291" s="19">
        <v>0</v>
      </c>
      <c r="X291" t="b">
        <f>VLOOKUP(B291,'M10B Order'!B:F,5,FALSE)=W291</f>
        <v>1</v>
      </c>
    </row>
    <row r="292" spans="1:24" x14ac:dyDescent="0.2">
      <c r="A292" s="19">
        <v>573626605</v>
      </c>
      <c r="B292" s="19" t="s">
        <v>988</v>
      </c>
      <c r="C292" s="19" t="s">
        <v>989</v>
      </c>
      <c r="D292" s="19" t="s">
        <v>523</v>
      </c>
      <c r="E292" s="19" t="s">
        <v>1778</v>
      </c>
      <c r="F292" s="19">
        <v>508804198</v>
      </c>
      <c r="G292" s="19">
        <v>4</v>
      </c>
      <c r="H292" s="19">
        <v>4</v>
      </c>
      <c r="I292" s="19">
        <v>393</v>
      </c>
      <c r="J292" s="25">
        <v>0.99491099999999999</v>
      </c>
      <c r="K292" s="26">
        <v>7.9999080000000156</v>
      </c>
      <c r="L292" s="26">
        <v>3968</v>
      </c>
      <c r="M292" s="26">
        <v>9</v>
      </c>
      <c r="N292" s="26">
        <v>8</v>
      </c>
      <c r="O292" s="27">
        <v>17</v>
      </c>
      <c r="P292" s="19">
        <v>12</v>
      </c>
      <c r="Q292" s="19">
        <v>1</v>
      </c>
      <c r="R292" s="19" t="s">
        <v>431</v>
      </c>
      <c r="S292" s="26">
        <v>0</v>
      </c>
      <c r="T292" s="28" t="s">
        <v>1933</v>
      </c>
      <c r="U292" s="19" t="s">
        <v>890</v>
      </c>
      <c r="V292" s="19">
        <v>0</v>
      </c>
      <c r="X292" t="b">
        <f>VLOOKUP(B292,'M10B Order'!B:F,5,FALSE)=W292</f>
        <v>1</v>
      </c>
    </row>
    <row r="293" spans="1:24" x14ac:dyDescent="0.2">
      <c r="A293" s="19">
        <v>573626620</v>
      </c>
      <c r="B293" s="19" t="s">
        <v>985</v>
      </c>
      <c r="C293" s="19" t="s">
        <v>986</v>
      </c>
      <c r="D293" s="19" t="s">
        <v>523</v>
      </c>
      <c r="E293" s="19" t="s">
        <v>1778</v>
      </c>
      <c r="F293" s="19">
        <v>508804198</v>
      </c>
      <c r="G293" s="19">
        <v>4</v>
      </c>
      <c r="H293" s="19">
        <v>4</v>
      </c>
      <c r="I293" s="19">
        <v>393</v>
      </c>
      <c r="J293" s="25">
        <v>0.99491099999999999</v>
      </c>
      <c r="K293" s="26">
        <v>7.9999080000000156</v>
      </c>
      <c r="L293" s="26">
        <v>6592</v>
      </c>
      <c r="M293" s="26">
        <v>9</v>
      </c>
      <c r="N293" s="26">
        <v>8</v>
      </c>
      <c r="O293" s="27">
        <v>17</v>
      </c>
      <c r="P293" s="19">
        <v>12</v>
      </c>
      <c r="Q293" s="19">
        <v>1</v>
      </c>
      <c r="R293" s="19" t="s">
        <v>431</v>
      </c>
      <c r="S293" s="26">
        <v>0</v>
      </c>
      <c r="T293" s="28" t="s">
        <v>1933</v>
      </c>
      <c r="U293" s="19" t="s">
        <v>431</v>
      </c>
      <c r="V293" s="19" t="s">
        <v>431</v>
      </c>
      <c r="X293" t="b">
        <f>VLOOKUP(B293,'M10B Order'!B:F,5,FALSE)=W293</f>
        <v>1</v>
      </c>
    </row>
    <row r="294" spans="1:24" x14ac:dyDescent="0.2">
      <c r="A294" s="19">
        <v>573626694</v>
      </c>
      <c r="B294" s="19" t="s">
        <v>983</v>
      </c>
      <c r="C294" s="19" t="s">
        <v>984</v>
      </c>
      <c r="D294" s="19" t="s">
        <v>523</v>
      </c>
      <c r="E294" s="19" t="s">
        <v>1778</v>
      </c>
      <c r="F294" s="19">
        <v>508804198</v>
      </c>
      <c r="G294" s="19">
        <v>4</v>
      </c>
      <c r="H294" s="19">
        <v>4</v>
      </c>
      <c r="I294" s="19">
        <v>1441</v>
      </c>
      <c r="J294" s="25">
        <v>0.991672</v>
      </c>
      <c r="K294" s="26">
        <v>48.002592000000014</v>
      </c>
      <c r="L294" s="26">
        <v>9420</v>
      </c>
      <c r="M294" s="26">
        <v>9</v>
      </c>
      <c r="N294" s="26">
        <v>8</v>
      </c>
      <c r="O294" s="27">
        <v>17</v>
      </c>
      <c r="P294" s="19">
        <v>12</v>
      </c>
      <c r="Q294" s="19">
        <v>1</v>
      </c>
      <c r="R294" s="19" t="s">
        <v>431</v>
      </c>
      <c r="S294" s="26">
        <v>0</v>
      </c>
      <c r="T294" s="28" t="s">
        <v>1933</v>
      </c>
      <c r="U294" s="19" t="s">
        <v>872</v>
      </c>
      <c r="V294" s="19">
        <v>0</v>
      </c>
      <c r="X294" t="b">
        <f>VLOOKUP(B294,'M10B Order'!B:F,5,FALSE)=W294</f>
        <v>1</v>
      </c>
    </row>
    <row r="295" spans="1:24" x14ac:dyDescent="0.2">
      <c r="A295" s="19">
        <v>573626686</v>
      </c>
      <c r="B295" s="19" t="s">
        <v>981</v>
      </c>
      <c r="C295" s="19" t="s">
        <v>982</v>
      </c>
      <c r="D295" s="19" t="s">
        <v>523</v>
      </c>
      <c r="E295" s="19" t="s">
        <v>1778</v>
      </c>
      <c r="F295" s="19">
        <v>508804198</v>
      </c>
      <c r="G295" s="19">
        <v>4</v>
      </c>
      <c r="H295" s="19">
        <v>4</v>
      </c>
      <c r="I295" s="19">
        <v>393</v>
      </c>
      <c r="J295" s="25">
        <v>0.98727699999999996</v>
      </c>
      <c r="K295" s="26">
        <v>20.000556000000064</v>
      </c>
      <c r="L295" s="26">
        <v>6480</v>
      </c>
      <c r="M295" s="26">
        <v>9</v>
      </c>
      <c r="N295" s="26">
        <v>8</v>
      </c>
      <c r="O295" s="27">
        <v>17</v>
      </c>
      <c r="P295" s="19">
        <v>12</v>
      </c>
      <c r="Q295" s="19">
        <v>1</v>
      </c>
      <c r="R295" s="19" t="s">
        <v>431</v>
      </c>
      <c r="S295" s="26">
        <v>0</v>
      </c>
      <c r="T295" s="28" t="s">
        <v>1933</v>
      </c>
      <c r="U295" s="19" t="s">
        <v>431</v>
      </c>
      <c r="V295" s="19" t="s">
        <v>431</v>
      </c>
      <c r="X295" t="b">
        <f>VLOOKUP(B295,'M10B Order'!B:F,5,FALSE)=W295</f>
        <v>1</v>
      </c>
    </row>
    <row r="296" spans="1:24" x14ac:dyDescent="0.2">
      <c r="A296" s="19">
        <v>573626608</v>
      </c>
      <c r="B296" s="19" t="s">
        <v>979</v>
      </c>
      <c r="C296" s="19" t="s">
        <v>980</v>
      </c>
      <c r="D296" s="19" t="s">
        <v>523</v>
      </c>
      <c r="E296" s="19" t="s">
        <v>1778</v>
      </c>
      <c r="F296" s="19">
        <v>508804198</v>
      </c>
      <c r="G296" s="19">
        <v>4</v>
      </c>
      <c r="H296" s="19">
        <v>4</v>
      </c>
      <c r="I296" s="19">
        <v>829</v>
      </c>
      <c r="J296" s="25">
        <v>0.98673100000000002</v>
      </c>
      <c r="K296" s="26">
        <v>44.000003999999919</v>
      </c>
      <c r="L296" s="26">
        <v>7720</v>
      </c>
      <c r="M296" s="26">
        <v>9</v>
      </c>
      <c r="N296" s="26">
        <v>8</v>
      </c>
      <c r="O296" s="27">
        <v>17</v>
      </c>
      <c r="P296" s="19">
        <v>12</v>
      </c>
      <c r="Q296" s="19">
        <v>1</v>
      </c>
      <c r="R296" s="19" t="s">
        <v>431</v>
      </c>
      <c r="S296" s="26">
        <v>0</v>
      </c>
      <c r="T296" s="28" t="s">
        <v>1933</v>
      </c>
      <c r="U296" s="19" t="s">
        <v>852</v>
      </c>
      <c r="V296" s="19">
        <v>0</v>
      </c>
      <c r="X296" t="b">
        <f>VLOOKUP(B296,'M10B Order'!B:F,5,FALSE)=W296</f>
        <v>1</v>
      </c>
    </row>
    <row r="297" spans="1:24" x14ac:dyDescent="0.2">
      <c r="A297" s="19">
        <v>573626693</v>
      </c>
      <c r="B297" s="19" t="s">
        <v>977</v>
      </c>
      <c r="C297" s="19" t="s">
        <v>978</v>
      </c>
      <c r="D297" s="19" t="s">
        <v>523</v>
      </c>
      <c r="E297" s="19" t="s">
        <v>1778</v>
      </c>
      <c r="F297" s="19">
        <v>508804198</v>
      </c>
      <c r="G297" s="19">
        <v>4</v>
      </c>
      <c r="H297" s="19">
        <v>4</v>
      </c>
      <c r="I297" s="19">
        <v>829</v>
      </c>
      <c r="J297" s="25">
        <v>0.99276200000000003</v>
      </c>
      <c r="K297" s="26">
        <v>24.001207999999888</v>
      </c>
      <c r="L297" s="26">
        <v>9568</v>
      </c>
      <c r="M297" s="26">
        <v>9</v>
      </c>
      <c r="N297" s="26">
        <v>8</v>
      </c>
      <c r="O297" s="27">
        <v>17</v>
      </c>
      <c r="P297" s="19">
        <v>12</v>
      </c>
      <c r="Q297" s="19">
        <v>1</v>
      </c>
      <c r="R297" s="19" t="s">
        <v>431</v>
      </c>
      <c r="S297" s="26">
        <v>0</v>
      </c>
      <c r="T297" s="28" t="s">
        <v>1933</v>
      </c>
      <c r="U297" s="19" t="s">
        <v>431</v>
      </c>
      <c r="V297" s="19" t="s">
        <v>431</v>
      </c>
      <c r="X297" t="b">
        <f>VLOOKUP(B297,'M10B Order'!B:F,5,FALSE)=W297</f>
        <v>1</v>
      </c>
    </row>
    <row r="298" spans="1:24" x14ac:dyDescent="0.2">
      <c r="A298" s="19">
        <v>573626650</v>
      </c>
      <c r="B298" s="19" t="s">
        <v>975</v>
      </c>
      <c r="C298" s="19" t="s">
        <v>976</v>
      </c>
      <c r="D298" s="19" t="s">
        <v>523</v>
      </c>
      <c r="E298" s="19" t="s">
        <v>1778</v>
      </c>
      <c r="F298" s="19">
        <v>508804198</v>
      </c>
      <c r="G298" s="19">
        <v>4</v>
      </c>
      <c r="H298" s="19">
        <v>4</v>
      </c>
      <c r="I298" s="19">
        <v>1470</v>
      </c>
      <c r="J298" s="25">
        <v>0.98435399999999995</v>
      </c>
      <c r="K298" s="26">
        <v>91.998480000000285</v>
      </c>
      <c r="L298" s="26">
        <v>11532</v>
      </c>
      <c r="M298" s="26">
        <v>9</v>
      </c>
      <c r="N298" s="26">
        <v>8</v>
      </c>
      <c r="O298" s="27">
        <v>17</v>
      </c>
      <c r="P298" s="19">
        <v>12</v>
      </c>
      <c r="Q298" s="19">
        <v>1</v>
      </c>
      <c r="R298" s="19" t="s">
        <v>431</v>
      </c>
      <c r="S298" s="26">
        <v>0</v>
      </c>
      <c r="T298" s="28" t="s">
        <v>1933</v>
      </c>
      <c r="U298" s="19" t="s">
        <v>431</v>
      </c>
      <c r="V298" s="19" t="s">
        <v>431</v>
      </c>
      <c r="X298" t="b">
        <f>VLOOKUP(B298,'M10B Order'!B:F,5,FALSE)=W298</f>
        <v>1</v>
      </c>
    </row>
    <row r="299" spans="1:24" x14ac:dyDescent="0.2">
      <c r="A299" s="19">
        <v>579058136</v>
      </c>
      <c r="B299" s="19" t="s">
        <v>1154</v>
      </c>
      <c r="C299" s="19" t="s">
        <v>1155</v>
      </c>
      <c r="D299" s="19" t="s">
        <v>523</v>
      </c>
      <c r="E299" s="19" t="s">
        <v>1778</v>
      </c>
      <c r="F299" s="19">
        <v>508804191</v>
      </c>
      <c r="G299" s="19">
        <v>4</v>
      </c>
      <c r="H299" s="19">
        <v>4</v>
      </c>
      <c r="I299" s="19">
        <v>393</v>
      </c>
      <c r="J299" s="25">
        <v>0.99236599999999997</v>
      </c>
      <c r="K299" s="26">
        <v>12.000648000000046</v>
      </c>
      <c r="L299" s="26">
        <v>1960</v>
      </c>
      <c r="M299" s="26">
        <v>9</v>
      </c>
      <c r="N299" s="26">
        <v>6</v>
      </c>
      <c r="O299" s="27">
        <v>15</v>
      </c>
      <c r="P299" s="19">
        <v>12</v>
      </c>
      <c r="Q299" s="19">
        <v>1</v>
      </c>
      <c r="R299" s="19" t="s">
        <v>431</v>
      </c>
      <c r="S299" s="26">
        <v>0</v>
      </c>
      <c r="T299" s="28">
        <v>14</v>
      </c>
      <c r="U299" s="19" t="s">
        <v>1379</v>
      </c>
      <c r="V299" s="19">
        <v>1337.5400000000004</v>
      </c>
      <c r="X299" t="b">
        <f>VLOOKUP(B299,'M10B Order'!B:F,5,FALSE)=W299</f>
        <v>1</v>
      </c>
    </row>
    <row r="300" spans="1:24" x14ac:dyDescent="0.2">
      <c r="A300" s="19">
        <v>579058170</v>
      </c>
      <c r="B300" s="19" t="s">
        <v>1156</v>
      </c>
      <c r="C300" s="19" t="s">
        <v>1157</v>
      </c>
      <c r="D300" s="19" t="s">
        <v>523</v>
      </c>
      <c r="E300" s="19" t="s">
        <v>1778</v>
      </c>
      <c r="F300" s="19">
        <v>508804191</v>
      </c>
      <c r="G300" s="19">
        <v>4</v>
      </c>
      <c r="H300" s="19">
        <v>4</v>
      </c>
      <c r="I300" s="19">
        <v>828</v>
      </c>
      <c r="J300" s="25">
        <v>0.98671500000000001</v>
      </c>
      <c r="K300" s="26">
        <v>43.999919999999975</v>
      </c>
      <c r="L300" s="26">
        <v>2744</v>
      </c>
      <c r="M300" s="26">
        <v>9</v>
      </c>
      <c r="N300" s="26">
        <v>6</v>
      </c>
      <c r="O300" s="27">
        <v>15</v>
      </c>
      <c r="P300" s="19">
        <v>12</v>
      </c>
      <c r="Q300" s="19">
        <v>1</v>
      </c>
      <c r="R300" s="19" t="s">
        <v>431</v>
      </c>
      <c r="S300" s="26">
        <v>0</v>
      </c>
      <c r="T300" s="28">
        <v>24</v>
      </c>
      <c r="U300" s="19" t="s">
        <v>1387</v>
      </c>
      <c r="V300" s="19">
        <v>953.33816000000013</v>
      </c>
      <c r="X300" t="b">
        <f>VLOOKUP(B300,'M10B Order'!B:F,5,FALSE)=W300</f>
        <v>1</v>
      </c>
    </row>
    <row r="301" spans="1:24" x14ac:dyDescent="0.2">
      <c r="A301" s="19">
        <v>579058172</v>
      </c>
      <c r="B301" s="19" t="s">
        <v>1158</v>
      </c>
      <c r="C301" s="19" t="s">
        <v>1159</v>
      </c>
      <c r="D301" s="19" t="s">
        <v>523</v>
      </c>
      <c r="E301" s="19" t="s">
        <v>1778</v>
      </c>
      <c r="F301" s="19">
        <v>508804191</v>
      </c>
      <c r="G301" s="19">
        <v>4</v>
      </c>
      <c r="H301" s="19">
        <v>4</v>
      </c>
      <c r="I301" s="19">
        <v>829</v>
      </c>
      <c r="J301" s="25">
        <v>0.99155599999999999</v>
      </c>
      <c r="K301" s="26">
        <v>28.000304000000025</v>
      </c>
      <c r="L301" s="26">
        <v>2824</v>
      </c>
      <c r="M301" s="26">
        <v>9</v>
      </c>
      <c r="N301" s="26">
        <v>6</v>
      </c>
      <c r="O301" s="27">
        <v>15</v>
      </c>
      <c r="P301" s="19">
        <v>12</v>
      </c>
      <c r="Q301" s="19">
        <v>1</v>
      </c>
      <c r="R301" s="19" t="s">
        <v>431</v>
      </c>
      <c r="S301" s="26">
        <v>0</v>
      </c>
      <c r="T301" s="28">
        <v>34</v>
      </c>
      <c r="U301" s="19" t="s">
        <v>1389</v>
      </c>
      <c r="V301" s="19">
        <v>1192.5338160000003</v>
      </c>
      <c r="X301" t="b">
        <f>VLOOKUP(B301,'M10B Order'!B:F,5,FALSE)=W301</f>
        <v>1</v>
      </c>
    </row>
    <row r="302" spans="1:24" x14ac:dyDescent="0.2">
      <c r="A302" s="19">
        <v>579058164</v>
      </c>
      <c r="B302" s="19" t="s">
        <v>1164</v>
      </c>
      <c r="C302" s="19" t="s">
        <v>1165</v>
      </c>
      <c r="D302" s="19" t="s">
        <v>523</v>
      </c>
      <c r="E302" s="19" t="s">
        <v>1778</v>
      </c>
      <c r="F302" s="19">
        <v>508804191</v>
      </c>
      <c r="G302" s="19">
        <v>4</v>
      </c>
      <c r="H302" s="19">
        <v>4</v>
      </c>
      <c r="I302" s="19">
        <v>393</v>
      </c>
      <c r="J302" s="25">
        <v>0.98727699999999996</v>
      </c>
      <c r="K302" s="26">
        <v>20.000556000000064</v>
      </c>
      <c r="L302" s="26">
        <v>2264</v>
      </c>
      <c r="M302" s="26">
        <v>9</v>
      </c>
      <c r="N302" s="26">
        <v>6</v>
      </c>
      <c r="O302" s="27">
        <v>15</v>
      </c>
      <c r="P302" s="19">
        <v>12</v>
      </c>
      <c r="Q302" s="19">
        <v>1</v>
      </c>
      <c r="R302" s="19" t="s">
        <v>431</v>
      </c>
      <c r="S302" s="26">
        <v>0</v>
      </c>
      <c r="T302" s="28" t="s">
        <v>1933</v>
      </c>
      <c r="U302" s="19" t="s">
        <v>1403</v>
      </c>
      <c r="V302" s="19">
        <v>832.362752</v>
      </c>
      <c r="X302" t="b">
        <f>VLOOKUP(B302,'M10B Order'!B:F,5,FALSE)=W302</f>
        <v>1</v>
      </c>
    </row>
    <row r="303" spans="1:24" x14ac:dyDescent="0.2">
      <c r="A303" s="19">
        <v>579058169</v>
      </c>
      <c r="B303" s="19" t="s">
        <v>1166</v>
      </c>
      <c r="C303" s="19" t="s">
        <v>1167</v>
      </c>
      <c r="D303" s="19" t="s">
        <v>523</v>
      </c>
      <c r="E303" s="19" t="s">
        <v>1778</v>
      </c>
      <c r="F303" s="19">
        <v>508804191</v>
      </c>
      <c r="G303" s="19">
        <v>4</v>
      </c>
      <c r="H303" s="19">
        <v>4</v>
      </c>
      <c r="I303" s="19">
        <v>2230</v>
      </c>
      <c r="J303" s="25">
        <v>0.97757799999999995</v>
      </c>
      <c r="K303" s="26">
        <v>200.00424000000046</v>
      </c>
      <c r="L303" s="26">
        <v>9060</v>
      </c>
      <c r="M303" s="26">
        <v>9</v>
      </c>
      <c r="N303" s="26">
        <v>6</v>
      </c>
      <c r="O303" s="27">
        <v>15</v>
      </c>
      <c r="P303" s="19">
        <v>12</v>
      </c>
      <c r="Q303" s="19">
        <v>1</v>
      </c>
      <c r="R303" s="19" t="s">
        <v>431</v>
      </c>
      <c r="S303" s="26">
        <v>0</v>
      </c>
      <c r="T303" s="28">
        <v>36</v>
      </c>
      <c r="U303" s="19" t="s">
        <v>1413</v>
      </c>
      <c r="V303" s="19">
        <v>1544.37</v>
      </c>
      <c r="X303" t="b">
        <f>VLOOKUP(B303,'M10B Order'!B:F,5,FALSE)=W303</f>
        <v>1</v>
      </c>
    </row>
    <row r="304" spans="1:24" x14ac:dyDescent="0.2">
      <c r="A304" s="19">
        <v>579058173</v>
      </c>
      <c r="B304" s="19" t="s">
        <v>1170</v>
      </c>
      <c r="C304" s="19" t="s">
        <v>1171</v>
      </c>
      <c r="D304" s="19" t="s">
        <v>523</v>
      </c>
      <c r="E304" s="19" t="s">
        <v>1778</v>
      </c>
      <c r="F304" s="19">
        <v>508804191</v>
      </c>
      <c r="G304" s="19">
        <v>4</v>
      </c>
      <c r="H304" s="19">
        <v>4</v>
      </c>
      <c r="I304" s="19">
        <v>2230</v>
      </c>
      <c r="J304" s="25">
        <v>0.97488799999999998</v>
      </c>
      <c r="K304" s="26">
        <v>223.99904000000021</v>
      </c>
      <c r="L304" s="26">
        <v>8236</v>
      </c>
      <c r="M304" s="26">
        <v>9</v>
      </c>
      <c r="N304" s="26">
        <v>6</v>
      </c>
      <c r="O304" s="27">
        <v>15</v>
      </c>
      <c r="P304" s="19">
        <v>12</v>
      </c>
      <c r="Q304" s="19">
        <v>1</v>
      </c>
      <c r="R304" s="19" t="s">
        <v>431</v>
      </c>
      <c r="S304" s="26">
        <v>0</v>
      </c>
      <c r="T304" s="28">
        <v>29</v>
      </c>
      <c r="U304" s="19" t="s">
        <v>1405</v>
      </c>
      <c r="V304" s="19">
        <v>573.49847199999954</v>
      </c>
      <c r="X304" t="b">
        <f>VLOOKUP(B304,'M10B Order'!B:F,5,FALSE)=W304</f>
        <v>1</v>
      </c>
    </row>
    <row r="305" spans="1:24" x14ac:dyDescent="0.2">
      <c r="A305" s="19">
        <v>579058177</v>
      </c>
      <c r="B305" s="19" t="s">
        <v>1172</v>
      </c>
      <c r="C305" s="19" t="s">
        <v>1173</v>
      </c>
      <c r="D305" s="19" t="s">
        <v>523</v>
      </c>
      <c r="E305" s="19" t="s">
        <v>1778</v>
      </c>
      <c r="F305" s="19">
        <v>508804191</v>
      </c>
      <c r="G305" s="19">
        <v>4</v>
      </c>
      <c r="H305" s="19">
        <v>4</v>
      </c>
      <c r="I305" s="19">
        <v>1469</v>
      </c>
      <c r="J305" s="25">
        <v>0.98230099999999998</v>
      </c>
      <c r="K305" s="26">
        <v>103.99932400000012</v>
      </c>
      <c r="L305" s="26">
        <v>3876</v>
      </c>
      <c r="M305" s="26">
        <v>9</v>
      </c>
      <c r="N305" s="26">
        <v>6</v>
      </c>
      <c r="O305" s="27">
        <v>15</v>
      </c>
      <c r="P305" s="19">
        <v>12</v>
      </c>
      <c r="Q305" s="19">
        <v>1</v>
      </c>
      <c r="R305" s="19" t="s">
        <v>431</v>
      </c>
      <c r="S305" s="26">
        <v>0</v>
      </c>
      <c r="T305" s="28">
        <v>22</v>
      </c>
      <c r="U305" s="19" t="s">
        <v>1407</v>
      </c>
      <c r="V305" s="19">
        <v>812.87473599999987</v>
      </c>
      <c r="X305" t="b">
        <f>VLOOKUP(B305,'M10B Order'!B:F,5,FALSE)=W305</f>
        <v>1</v>
      </c>
    </row>
    <row r="306" spans="1:24" x14ac:dyDescent="0.2">
      <c r="A306" s="19">
        <v>579058151</v>
      </c>
      <c r="B306" s="19" t="s">
        <v>1174</v>
      </c>
      <c r="C306" s="19" t="s">
        <v>1175</v>
      </c>
      <c r="D306" s="19" t="s">
        <v>523</v>
      </c>
      <c r="E306" s="19" t="s">
        <v>1778</v>
      </c>
      <c r="F306" s="19">
        <v>508804191</v>
      </c>
      <c r="G306" s="19">
        <v>4</v>
      </c>
      <c r="H306" s="19">
        <v>4</v>
      </c>
      <c r="I306" s="19">
        <v>2389</v>
      </c>
      <c r="J306" s="25">
        <v>0.94809500000000002</v>
      </c>
      <c r="K306" s="26">
        <v>496.00417999999979</v>
      </c>
      <c r="L306" s="26">
        <v>16660</v>
      </c>
      <c r="M306" s="26">
        <v>9</v>
      </c>
      <c r="N306" s="26">
        <v>6</v>
      </c>
      <c r="O306" s="27">
        <v>15</v>
      </c>
      <c r="P306" s="19">
        <v>12</v>
      </c>
      <c r="Q306" s="19">
        <v>1</v>
      </c>
      <c r="R306" s="19" t="s">
        <v>431</v>
      </c>
      <c r="S306" s="26">
        <v>0</v>
      </c>
      <c r="T306" s="28" t="s">
        <v>1933</v>
      </c>
      <c r="U306" s="19" t="s">
        <v>1409</v>
      </c>
      <c r="V306" s="19">
        <v>0</v>
      </c>
      <c r="X306" t="b">
        <f>VLOOKUP(B306,'M10B Order'!B:F,5,FALSE)=W306</f>
        <v>1</v>
      </c>
    </row>
    <row r="307" spans="1:24" x14ac:dyDescent="0.2">
      <c r="A307" s="19">
        <v>579058165</v>
      </c>
      <c r="B307" s="19" t="s">
        <v>1176</v>
      </c>
      <c r="C307" s="19" t="s">
        <v>1177</v>
      </c>
      <c r="D307" s="19" t="s">
        <v>523</v>
      </c>
      <c r="E307" s="19" t="s">
        <v>1778</v>
      </c>
      <c r="F307" s="19">
        <v>508804191</v>
      </c>
      <c r="G307" s="19">
        <v>4</v>
      </c>
      <c r="H307" s="19">
        <v>4</v>
      </c>
      <c r="I307" s="19">
        <v>393</v>
      </c>
      <c r="J307" s="25">
        <v>0.90585199999999999</v>
      </c>
      <c r="K307" s="26">
        <v>148.00065600000002</v>
      </c>
      <c r="L307" s="26">
        <v>2016</v>
      </c>
      <c r="M307" s="26">
        <v>9</v>
      </c>
      <c r="N307" s="26">
        <v>6</v>
      </c>
      <c r="O307" s="27">
        <v>15</v>
      </c>
      <c r="P307" s="19">
        <v>12</v>
      </c>
      <c r="Q307" s="19">
        <v>1</v>
      </c>
      <c r="R307" s="19" t="s">
        <v>431</v>
      </c>
      <c r="S307" s="26">
        <v>0</v>
      </c>
      <c r="T307" s="28" t="s">
        <v>1933</v>
      </c>
      <c r="U307" s="19" t="s">
        <v>1411</v>
      </c>
      <c r="V307" s="19">
        <v>0</v>
      </c>
      <c r="X307" t="b">
        <f>VLOOKUP(B307,'M10B Order'!B:F,5,FALSE)=W307</f>
        <v>1</v>
      </c>
    </row>
    <row r="308" spans="1:24" x14ac:dyDescent="0.2">
      <c r="A308" s="19">
        <v>579058137</v>
      </c>
      <c r="B308" s="19" t="s">
        <v>1178</v>
      </c>
      <c r="C308" s="19" t="s">
        <v>1179</v>
      </c>
      <c r="D308" s="19" t="s">
        <v>523</v>
      </c>
      <c r="E308" s="19" t="s">
        <v>1778</v>
      </c>
      <c r="F308" s="19">
        <v>508804191</v>
      </c>
      <c r="G308" s="19">
        <v>4</v>
      </c>
      <c r="H308" s="19">
        <v>4</v>
      </c>
      <c r="I308" s="19">
        <v>393</v>
      </c>
      <c r="J308" s="25">
        <v>0.99745499999999998</v>
      </c>
      <c r="K308" s="26">
        <v>4.0007400000000306</v>
      </c>
      <c r="L308" s="26">
        <v>2520</v>
      </c>
      <c r="M308" s="26">
        <v>9</v>
      </c>
      <c r="N308" s="26">
        <v>6</v>
      </c>
      <c r="O308" s="27">
        <v>15</v>
      </c>
      <c r="P308" s="19">
        <v>12</v>
      </c>
      <c r="Q308" s="19">
        <v>1</v>
      </c>
      <c r="R308" s="19" t="s">
        <v>431</v>
      </c>
      <c r="S308" s="26">
        <v>0</v>
      </c>
      <c r="T308" s="28" t="s">
        <v>1933</v>
      </c>
      <c r="U308" s="19" t="s">
        <v>1423</v>
      </c>
      <c r="V308" s="19">
        <v>0</v>
      </c>
      <c r="X308" t="b">
        <f>VLOOKUP(B308,'M10B Order'!B:F,5,FALSE)=W308</f>
        <v>1</v>
      </c>
    </row>
    <row r="309" spans="1:24" x14ac:dyDescent="0.2">
      <c r="A309" s="19">
        <v>579058168</v>
      </c>
      <c r="B309" s="19" t="s">
        <v>1180</v>
      </c>
      <c r="C309" s="19" t="s">
        <v>1181</v>
      </c>
      <c r="D309" s="19" t="s">
        <v>523</v>
      </c>
      <c r="E309" s="19" t="s">
        <v>1778</v>
      </c>
      <c r="F309" s="19">
        <v>508804191</v>
      </c>
      <c r="G309" s="19">
        <v>4</v>
      </c>
      <c r="H309" s="19">
        <v>4</v>
      </c>
      <c r="I309" s="19">
        <v>393</v>
      </c>
      <c r="J309" s="25">
        <v>0.99236599999999997</v>
      </c>
      <c r="K309" s="26">
        <v>12.000648000000046</v>
      </c>
      <c r="L309" s="26">
        <v>1924</v>
      </c>
      <c r="M309" s="26">
        <v>9</v>
      </c>
      <c r="N309" s="26">
        <v>6</v>
      </c>
      <c r="O309" s="27">
        <v>15</v>
      </c>
      <c r="P309" s="19">
        <v>12</v>
      </c>
      <c r="Q309" s="19">
        <v>1</v>
      </c>
      <c r="R309" s="19" t="s">
        <v>431</v>
      </c>
      <c r="S309" s="26">
        <v>0</v>
      </c>
      <c r="T309" s="28" t="s">
        <v>1933</v>
      </c>
      <c r="U309" s="19" t="s">
        <v>1425</v>
      </c>
      <c r="V309" s="19">
        <v>324.14918399999982</v>
      </c>
      <c r="X309" t="b">
        <f>VLOOKUP(B309,'M10B Order'!B:F,5,FALSE)=W309</f>
        <v>1</v>
      </c>
    </row>
    <row r="310" spans="1:24" x14ac:dyDescent="0.2">
      <c r="A310" s="19">
        <v>579058171</v>
      </c>
      <c r="B310" s="19" t="s">
        <v>1182</v>
      </c>
      <c r="C310" s="19" t="s">
        <v>1183</v>
      </c>
      <c r="D310" s="19" t="s">
        <v>523</v>
      </c>
      <c r="E310" s="19" t="s">
        <v>1778</v>
      </c>
      <c r="F310" s="19">
        <v>508804191</v>
      </c>
      <c r="G310" s="19">
        <v>4</v>
      </c>
      <c r="H310" s="19">
        <v>4</v>
      </c>
      <c r="I310" s="19">
        <v>1470</v>
      </c>
      <c r="J310" s="25">
        <v>0.99387800000000004</v>
      </c>
      <c r="K310" s="26">
        <v>35.997359999999773</v>
      </c>
      <c r="L310" s="26">
        <v>6764</v>
      </c>
      <c r="M310" s="26">
        <v>9</v>
      </c>
      <c r="N310" s="26">
        <v>6</v>
      </c>
      <c r="O310" s="27">
        <v>15</v>
      </c>
      <c r="P310" s="19">
        <v>12</v>
      </c>
      <c r="Q310" s="19">
        <v>1</v>
      </c>
      <c r="R310" s="19" t="s">
        <v>431</v>
      </c>
      <c r="S310" s="26">
        <v>0</v>
      </c>
      <c r="T310" s="28" t="s">
        <v>1933</v>
      </c>
      <c r="U310" s="19" t="s">
        <v>1427</v>
      </c>
      <c r="V310" s="19">
        <v>332.08069599999999</v>
      </c>
      <c r="X310" t="b">
        <f>VLOOKUP(B310,'M10B Order'!B:F,5,FALSE)=W310</f>
        <v>1</v>
      </c>
    </row>
    <row r="311" spans="1:24" x14ac:dyDescent="0.2">
      <c r="A311" s="19">
        <v>579058076</v>
      </c>
      <c r="B311" s="19" t="s">
        <v>1190</v>
      </c>
      <c r="C311" s="19" t="s">
        <v>1191</v>
      </c>
      <c r="D311" s="19" t="s">
        <v>523</v>
      </c>
      <c r="E311" s="19" t="s">
        <v>1778</v>
      </c>
      <c r="F311" s="19">
        <v>508804191</v>
      </c>
      <c r="G311" s="19">
        <v>4</v>
      </c>
      <c r="H311" s="19">
        <v>4</v>
      </c>
      <c r="I311" s="19">
        <v>2230</v>
      </c>
      <c r="J311" s="25">
        <v>0.98744399999999999</v>
      </c>
      <c r="K311" s="26">
        <v>111.9995200000001</v>
      </c>
      <c r="L311" s="26">
        <v>7592</v>
      </c>
      <c r="M311" s="26">
        <v>9</v>
      </c>
      <c r="N311" s="26">
        <v>6</v>
      </c>
      <c r="O311" s="27">
        <v>15</v>
      </c>
      <c r="P311" s="19">
        <v>12</v>
      </c>
      <c r="Q311" s="19">
        <v>1</v>
      </c>
      <c r="R311" s="19" t="s">
        <v>431</v>
      </c>
      <c r="S311" s="26">
        <v>0</v>
      </c>
      <c r="T311" s="28">
        <v>36</v>
      </c>
      <c r="U311" s="19" t="s">
        <v>1437</v>
      </c>
      <c r="V311" s="19">
        <v>1227.7981120000004</v>
      </c>
      <c r="X311" t="b">
        <f>VLOOKUP(B311,'M10B Order'!B:F,5,FALSE)=W311</f>
        <v>1</v>
      </c>
    </row>
    <row r="312" spans="1:24" x14ac:dyDescent="0.2">
      <c r="A312" s="19">
        <v>579058178</v>
      </c>
      <c r="B312" s="19" t="s">
        <v>1192</v>
      </c>
      <c r="C312" s="19" t="s">
        <v>1193</v>
      </c>
      <c r="D312" s="19" t="s">
        <v>523</v>
      </c>
      <c r="E312" s="19" t="s">
        <v>1778</v>
      </c>
      <c r="F312" s="19">
        <v>508804191</v>
      </c>
      <c r="G312" s="19">
        <v>4</v>
      </c>
      <c r="H312" s="19">
        <v>4</v>
      </c>
      <c r="I312" s="19">
        <v>393</v>
      </c>
      <c r="J312" s="25">
        <v>0.99236599999999997</v>
      </c>
      <c r="K312" s="26">
        <v>12.000648000000046</v>
      </c>
      <c r="L312" s="26">
        <v>2220</v>
      </c>
      <c r="M312" s="26">
        <v>9</v>
      </c>
      <c r="N312" s="26">
        <v>6</v>
      </c>
      <c r="O312" s="27">
        <v>15</v>
      </c>
      <c r="P312" s="19">
        <v>12</v>
      </c>
      <c r="Q312" s="19">
        <v>1</v>
      </c>
      <c r="R312" s="19" t="s">
        <v>431</v>
      </c>
      <c r="S312" s="26">
        <v>0</v>
      </c>
      <c r="T312" s="28" t="s">
        <v>1933</v>
      </c>
      <c r="U312" s="19" t="s">
        <v>1441</v>
      </c>
      <c r="V312" s="19">
        <v>0</v>
      </c>
      <c r="X312" t="b">
        <f>VLOOKUP(B312,'M10B Order'!B:F,5,FALSE)=W312</f>
        <v>1</v>
      </c>
    </row>
    <row r="313" spans="1:24" x14ac:dyDescent="0.2">
      <c r="A313" s="19">
        <v>579058186</v>
      </c>
      <c r="B313" s="19" t="s">
        <v>1196</v>
      </c>
      <c r="C313" s="19" t="s">
        <v>1197</v>
      </c>
      <c r="D313" s="19" t="s">
        <v>523</v>
      </c>
      <c r="E313" s="19" t="s">
        <v>1778</v>
      </c>
      <c r="F313" s="19">
        <v>508804191</v>
      </c>
      <c r="G313" s="19">
        <v>4</v>
      </c>
      <c r="H313" s="19">
        <v>4</v>
      </c>
      <c r="I313" s="19">
        <v>393</v>
      </c>
      <c r="J313" s="25">
        <v>0.98727699999999996</v>
      </c>
      <c r="K313" s="26">
        <v>20.000556000000064</v>
      </c>
      <c r="L313" s="26">
        <v>3084</v>
      </c>
      <c r="M313" s="26">
        <v>9</v>
      </c>
      <c r="N313" s="26">
        <v>6</v>
      </c>
      <c r="O313" s="27">
        <v>15</v>
      </c>
      <c r="P313" s="19">
        <v>12</v>
      </c>
      <c r="Q313" s="19">
        <v>1</v>
      </c>
      <c r="R313" s="19" t="s">
        <v>431</v>
      </c>
      <c r="S313" s="26">
        <v>0</v>
      </c>
      <c r="T313" s="28" t="s">
        <v>1933</v>
      </c>
      <c r="U313" s="19" t="s">
        <v>1433</v>
      </c>
      <c r="V313" s="19">
        <v>52.70999999999998</v>
      </c>
      <c r="X313" t="b">
        <f>VLOOKUP(B313,'M10B Order'!B:F,5,FALSE)=W313</f>
        <v>1</v>
      </c>
    </row>
    <row r="314" spans="1:24" x14ac:dyDescent="0.2">
      <c r="A314" s="19">
        <v>579058181</v>
      </c>
      <c r="B314" s="19" t="s">
        <v>1198</v>
      </c>
      <c r="C314" s="19" t="s">
        <v>1199</v>
      </c>
      <c r="D314" s="19" t="s">
        <v>523</v>
      </c>
      <c r="E314" s="19" t="s">
        <v>1778</v>
      </c>
      <c r="F314" s="19">
        <v>508804191</v>
      </c>
      <c r="G314" s="19">
        <v>4</v>
      </c>
      <c r="H314" s="19">
        <v>4</v>
      </c>
      <c r="I314" s="19">
        <v>393</v>
      </c>
      <c r="J314" s="25">
        <v>0.99491099999999999</v>
      </c>
      <c r="K314" s="26">
        <v>7.9999080000000156</v>
      </c>
      <c r="L314" s="26">
        <v>2936</v>
      </c>
      <c r="M314" s="26">
        <v>9</v>
      </c>
      <c r="N314" s="26">
        <v>6</v>
      </c>
      <c r="O314" s="27">
        <v>15</v>
      </c>
      <c r="P314" s="19">
        <v>12</v>
      </c>
      <c r="Q314" s="19">
        <v>1</v>
      </c>
      <c r="R314" s="19" t="s">
        <v>431</v>
      </c>
      <c r="S314" s="26">
        <v>0</v>
      </c>
      <c r="T314" s="28" t="s">
        <v>1933</v>
      </c>
      <c r="U314" s="19" t="s">
        <v>1435</v>
      </c>
      <c r="V314" s="19">
        <v>0</v>
      </c>
      <c r="X314" t="b">
        <f>VLOOKUP(B314,'M10B Order'!B:F,5,FALSE)=W314</f>
        <v>1</v>
      </c>
    </row>
    <row r="315" spans="1:24" x14ac:dyDescent="0.2">
      <c r="A315" s="19">
        <v>579058187</v>
      </c>
      <c r="B315" s="19" t="s">
        <v>1200</v>
      </c>
      <c r="C315" s="19" t="s">
        <v>1201</v>
      </c>
      <c r="D315" s="19" t="s">
        <v>523</v>
      </c>
      <c r="E315" s="19" t="s">
        <v>1778</v>
      </c>
      <c r="F315" s="19">
        <v>508804191</v>
      </c>
      <c r="G315" s="19">
        <v>4</v>
      </c>
      <c r="H315" s="19">
        <v>4</v>
      </c>
      <c r="I315" s="19">
        <v>829</v>
      </c>
      <c r="J315" s="25">
        <v>0.98914400000000002</v>
      </c>
      <c r="K315" s="26">
        <v>35.998495999999925</v>
      </c>
      <c r="L315" s="26">
        <v>3588</v>
      </c>
      <c r="M315" s="26">
        <v>9</v>
      </c>
      <c r="N315" s="26">
        <v>6</v>
      </c>
      <c r="O315" s="27">
        <v>15</v>
      </c>
      <c r="P315" s="19">
        <v>12</v>
      </c>
      <c r="Q315" s="19">
        <v>1</v>
      </c>
      <c r="R315" s="19" t="s">
        <v>431</v>
      </c>
      <c r="S315" s="26">
        <v>0</v>
      </c>
      <c r="T315" s="28" t="s">
        <v>1933</v>
      </c>
      <c r="U315" s="19" t="s">
        <v>1447</v>
      </c>
      <c r="V315" s="19">
        <v>0</v>
      </c>
      <c r="X315" t="b">
        <f>VLOOKUP(B315,'M10B Order'!B:F,5,FALSE)=W315</f>
        <v>1</v>
      </c>
    </row>
    <row r="316" spans="1:24" x14ac:dyDescent="0.2">
      <c r="A316" s="19">
        <v>579058174</v>
      </c>
      <c r="B316" s="19" t="s">
        <v>1202</v>
      </c>
      <c r="C316" s="19" t="s">
        <v>1203</v>
      </c>
      <c r="D316" s="19" t="s">
        <v>523</v>
      </c>
      <c r="E316" s="19" t="s">
        <v>1778</v>
      </c>
      <c r="F316" s="19">
        <v>508804191</v>
      </c>
      <c r="G316" s="19">
        <v>4</v>
      </c>
      <c r="H316" s="19">
        <v>4</v>
      </c>
      <c r="I316" s="19">
        <v>1470</v>
      </c>
      <c r="J316" s="25">
        <v>0.989116</v>
      </c>
      <c r="K316" s="26">
        <v>63.997920000000029</v>
      </c>
      <c r="L316" s="26">
        <v>5468</v>
      </c>
      <c r="M316" s="26">
        <v>9</v>
      </c>
      <c r="N316" s="26">
        <v>6</v>
      </c>
      <c r="O316" s="27">
        <v>15</v>
      </c>
      <c r="P316" s="19">
        <v>12</v>
      </c>
      <c r="Q316" s="19">
        <v>1</v>
      </c>
      <c r="R316" s="19" t="s">
        <v>431</v>
      </c>
      <c r="S316" s="26">
        <v>0</v>
      </c>
      <c r="T316" s="28" t="s">
        <v>1933</v>
      </c>
      <c r="U316" s="19" t="s">
        <v>1449</v>
      </c>
      <c r="V316" s="19">
        <v>0</v>
      </c>
      <c r="X316" t="b">
        <f>VLOOKUP(B316,'M10B Order'!B:F,5,FALSE)=W316</f>
        <v>1</v>
      </c>
    </row>
    <row r="317" spans="1:24" x14ac:dyDescent="0.2">
      <c r="A317" s="19">
        <v>579058033</v>
      </c>
      <c r="B317" s="19" t="s">
        <v>1210</v>
      </c>
      <c r="C317" s="19" t="s">
        <v>1211</v>
      </c>
      <c r="D317" s="19" t="s">
        <v>523</v>
      </c>
      <c r="E317" s="19" t="s">
        <v>1778</v>
      </c>
      <c r="F317" s="19">
        <v>508804191</v>
      </c>
      <c r="G317" s="19">
        <v>4</v>
      </c>
      <c r="H317" s="19">
        <v>4</v>
      </c>
      <c r="I317" s="19">
        <v>1470</v>
      </c>
      <c r="J317" s="25">
        <v>0.99387800000000004</v>
      </c>
      <c r="K317" s="26">
        <v>35.997359999999773</v>
      </c>
      <c r="L317" s="26">
        <v>6800</v>
      </c>
      <c r="M317" s="26">
        <v>9</v>
      </c>
      <c r="N317" s="26">
        <v>6</v>
      </c>
      <c r="O317" s="27">
        <v>15</v>
      </c>
      <c r="P317" s="19">
        <v>12</v>
      </c>
      <c r="Q317" s="19">
        <v>1</v>
      </c>
      <c r="R317" s="19" t="s">
        <v>431</v>
      </c>
      <c r="S317" s="26">
        <v>0</v>
      </c>
      <c r="T317" s="28" t="s">
        <v>1933</v>
      </c>
      <c r="U317" s="19" t="s">
        <v>1451</v>
      </c>
      <c r="V317" s="19">
        <v>0</v>
      </c>
      <c r="X317" t="b">
        <f>VLOOKUP(B317,'M10B Order'!B:F,5,FALSE)=W317</f>
        <v>1</v>
      </c>
    </row>
    <row r="318" spans="1:24" x14ac:dyDescent="0.2">
      <c r="A318" s="19">
        <v>579058065</v>
      </c>
      <c r="B318" s="19" t="s">
        <v>1206</v>
      </c>
      <c r="C318" s="19" t="s">
        <v>1207</v>
      </c>
      <c r="D318" s="19" t="s">
        <v>523</v>
      </c>
      <c r="E318" s="19" t="s">
        <v>1778</v>
      </c>
      <c r="F318" s="19">
        <v>508804191</v>
      </c>
      <c r="G318" s="19">
        <v>4</v>
      </c>
      <c r="H318" s="19">
        <v>4</v>
      </c>
      <c r="I318" s="19">
        <v>1897</v>
      </c>
      <c r="J318" s="25">
        <v>0.98313099999999998</v>
      </c>
      <c r="K318" s="26">
        <v>128.00197200000017</v>
      </c>
      <c r="L318" s="26">
        <v>6364</v>
      </c>
      <c r="M318" s="26">
        <v>9</v>
      </c>
      <c r="N318" s="26">
        <v>6</v>
      </c>
      <c r="O318" s="27">
        <v>15</v>
      </c>
      <c r="P318" s="19">
        <v>12</v>
      </c>
      <c r="Q318" s="19">
        <v>1</v>
      </c>
      <c r="R318" s="19" t="s">
        <v>431</v>
      </c>
      <c r="S318" s="26">
        <v>0</v>
      </c>
      <c r="T318" s="28">
        <v>23</v>
      </c>
      <c r="U318" s="19" t="s">
        <v>1455</v>
      </c>
      <c r="V318" s="19">
        <v>140.7978640000004</v>
      </c>
      <c r="X318" t="b">
        <f>VLOOKUP(B318,'M10B Order'!B:F,5,FALSE)=W318</f>
        <v>1</v>
      </c>
    </row>
    <row r="319" spans="1:24" x14ac:dyDescent="0.2">
      <c r="A319" s="19">
        <v>579058039</v>
      </c>
      <c r="B319" s="19" t="s">
        <v>1208</v>
      </c>
      <c r="C319" s="19" t="s">
        <v>1209</v>
      </c>
      <c r="D319" s="19" t="s">
        <v>523</v>
      </c>
      <c r="E319" s="19" t="s">
        <v>1778</v>
      </c>
      <c r="F319" s="19">
        <v>508804191</v>
      </c>
      <c r="G319" s="19">
        <v>4</v>
      </c>
      <c r="H319" s="19">
        <v>4</v>
      </c>
      <c r="I319" s="19">
        <v>1470</v>
      </c>
      <c r="J319" s="25">
        <v>0.989116</v>
      </c>
      <c r="K319" s="26">
        <v>63.997920000000029</v>
      </c>
      <c r="L319" s="26">
        <v>3020</v>
      </c>
      <c r="M319" s="26">
        <v>9</v>
      </c>
      <c r="N319" s="26">
        <v>6</v>
      </c>
      <c r="O319" s="27">
        <v>15</v>
      </c>
      <c r="P319" s="19">
        <v>12</v>
      </c>
      <c r="Q319" s="19">
        <v>1</v>
      </c>
      <c r="R319" s="19" t="s">
        <v>431</v>
      </c>
      <c r="S319" s="26">
        <v>0</v>
      </c>
      <c r="T319" s="28">
        <v>37</v>
      </c>
      <c r="U319" s="19" t="s">
        <v>1457</v>
      </c>
      <c r="V319" s="19">
        <v>402.33115200000026</v>
      </c>
      <c r="X319" t="b">
        <f>VLOOKUP(B319,'M10B Order'!B:F,5,FALSE)=W319</f>
        <v>1</v>
      </c>
    </row>
    <row r="320" spans="1:24" x14ac:dyDescent="0.2">
      <c r="A320" s="19">
        <v>579058109</v>
      </c>
      <c r="B320" s="19" t="s">
        <v>1204</v>
      </c>
      <c r="C320" s="19" t="s">
        <v>1205</v>
      </c>
      <c r="D320" s="19" t="s">
        <v>523</v>
      </c>
      <c r="E320" s="19" t="s">
        <v>1778</v>
      </c>
      <c r="F320" s="19">
        <v>508804191</v>
      </c>
      <c r="G320" s="19">
        <v>4</v>
      </c>
      <c r="H320" s="19">
        <v>4</v>
      </c>
      <c r="I320" s="19">
        <v>1470</v>
      </c>
      <c r="J320" s="25">
        <v>0.989116</v>
      </c>
      <c r="K320" s="26">
        <v>63.997920000000029</v>
      </c>
      <c r="L320" s="26">
        <v>7244</v>
      </c>
      <c r="M320" s="26">
        <v>9</v>
      </c>
      <c r="N320" s="26">
        <v>6</v>
      </c>
      <c r="O320" s="27">
        <v>15</v>
      </c>
      <c r="P320" s="19">
        <v>12</v>
      </c>
      <c r="Q320" s="19">
        <v>1</v>
      </c>
      <c r="R320" s="19" t="s">
        <v>431</v>
      </c>
      <c r="S320" s="26">
        <v>0</v>
      </c>
      <c r="T320" s="28" t="s">
        <v>1933</v>
      </c>
      <c r="U320" s="19" t="s">
        <v>1459</v>
      </c>
      <c r="V320" s="19">
        <v>0</v>
      </c>
      <c r="X320" t="b">
        <f>VLOOKUP(B320,'M10B Order'!B:F,5,FALSE)=W320</f>
        <v>1</v>
      </c>
    </row>
    <row r="321" spans="1:24" x14ac:dyDescent="0.2">
      <c r="A321" s="19">
        <v>579058041</v>
      </c>
      <c r="B321" s="19" t="s">
        <v>1216</v>
      </c>
      <c r="C321" s="19" t="s">
        <v>1217</v>
      </c>
      <c r="D321" s="19" t="s">
        <v>523</v>
      </c>
      <c r="E321" s="19" t="s">
        <v>1778</v>
      </c>
      <c r="F321" s="19">
        <v>508804191</v>
      </c>
      <c r="G321" s="19">
        <v>4</v>
      </c>
      <c r="H321" s="19">
        <v>4</v>
      </c>
      <c r="I321" s="19">
        <v>393</v>
      </c>
      <c r="J321" s="25">
        <v>0.98727699999999996</v>
      </c>
      <c r="K321" s="26">
        <v>20.000556000000064</v>
      </c>
      <c r="L321" s="26">
        <v>1632</v>
      </c>
      <c r="M321" s="26">
        <v>9</v>
      </c>
      <c r="N321" s="26">
        <v>6</v>
      </c>
      <c r="O321" s="27">
        <v>15</v>
      </c>
      <c r="P321" s="19">
        <v>12</v>
      </c>
      <c r="Q321" s="19">
        <v>1</v>
      </c>
      <c r="R321" s="19" t="s">
        <v>431</v>
      </c>
      <c r="S321" s="26">
        <v>0</v>
      </c>
      <c r="T321" s="28" t="s">
        <v>1933</v>
      </c>
      <c r="U321" s="19" t="s">
        <v>1465</v>
      </c>
      <c r="V321" s="19">
        <v>0</v>
      </c>
      <c r="X321" t="b">
        <f>VLOOKUP(B321,'M10B Order'!B:F,5,FALSE)=W321</f>
        <v>1</v>
      </c>
    </row>
    <row r="322" spans="1:24" x14ac:dyDescent="0.2">
      <c r="A322" s="19">
        <v>579058040</v>
      </c>
      <c r="B322" s="19" t="s">
        <v>1214</v>
      </c>
      <c r="C322" s="19" t="s">
        <v>1215</v>
      </c>
      <c r="D322" s="19" t="s">
        <v>523</v>
      </c>
      <c r="E322" s="19" t="s">
        <v>1778</v>
      </c>
      <c r="F322" s="19">
        <v>508804191</v>
      </c>
      <c r="G322" s="19">
        <v>4</v>
      </c>
      <c r="H322" s="19">
        <v>4</v>
      </c>
      <c r="I322" s="19">
        <v>393</v>
      </c>
      <c r="J322" s="25">
        <v>0.99236599999999997</v>
      </c>
      <c r="K322" s="26">
        <v>12.000648000000046</v>
      </c>
      <c r="L322" s="26">
        <v>2376</v>
      </c>
      <c r="M322" s="26">
        <v>9</v>
      </c>
      <c r="N322" s="26">
        <v>6</v>
      </c>
      <c r="O322" s="27">
        <v>15</v>
      </c>
      <c r="P322" s="19">
        <v>12</v>
      </c>
      <c r="Q322" s="19">
        <v>1</v>
      </c>
      <c r="R322" s="19" t="s">
        <v>431</v>
      </c>
      <c r="S322" s="26">
        <v>0</v>
      </c>
      <c r="T322" s="28" t="s">
        <v>1933</v>
      </c>
      <c r="U322" s="19" t="s">
        <v>1469</v>
      </c>
      <c r="V322" s="19">
        <v>0</v>
      </c>
      <c r="X322" t="b">
        <f>VLOOKUP(B322,'M10B Order'!B:F,5,FALSE)=W322</f>
        <v>1</v>
      </c>
    </row>
    <row r="323" spans="1:24" x14ac:dyDescent="0.2">
      <c r="A323" s="19">
        <v>579057997</v>
      </c>
      <c r="B323" s="19" t="s">
        <v>1212</v>
      </c>
      <c r="C323" s="19" t="s">
        <v>1213</v>
      </c>
      <c r="D323" s="19" t="s">
        <v>523</v>
      </c>
      <c r="E323" s="19" t="s">
        <v>1778</v>
      </c>
      <c r="F323" s="19">
        <v>508804191</v>
      </c>
      <c r="G323" s="19">
        <v>4</v>
      </c>
      <c r="H323" s="19">
        <v>4</v>
      </c>
      <c r="I323" s="19">
        <v>829</v>
      </c>
      <c r="J323" s="25">
        <v>0.99396899999999999</v>
      </c>
      <c r="K323" s="26">
        <v>19.998796000000027</v>
      </c>
      <c r="L323" s="26">
        <v>4628</v>
      </c>
      <c r="M323" s="26">
        <v>9</v>
      </c>
      <c r="N323" s="26">
        <v>6</v>
      </c>
      <c r="O323" s="27">
        <v>15</v>
      </c>
      <c r="P323" s="19">
        <v>12</v>
      </c>
      <c r="Q323" s="19">
        <v>1</v>
      </c>
      <c r="R323" s="19" t="s">
        <v>431</v>
      </c>
      <c r="S323" s="26">
        <v>0</v>
      </c>
      <c r="T323" s="28" t="s">
        <v>1933</v>
      </c>
      <c r="U323" s="19" t="s">
        <v>1467</v>
      </c>
      <c r="V323" s="19">
        <v>0</v>
      </c>
      <c r="X323" t="b">
        <f>VLOOKUP(B323,'M10B Order'!B:F,5,FALSE)=W323</f>
        <v>1</v>
      </c>
    </row>
    <row r="324" spans="1:24" x14ac:dyDescent="0.2">
      <c r="A324" s="19">
        <v>578808789</v>
      </c>
      <c r="B324" s="19" t="s">
        <v>1471</v>
      </c>
      <c r="C324" s="19" t="s">
        <v>1472</v>
      </c>
      <c r="D324" s="19" t="s">
        <v>523</v>
      </c>
      <c r="E324" s="19" t="s">
        <v>1778</v>
      </c>
      <c r="F324" s="19">
        <v>508804198</v>
      </c>
      <c r="G324" s="19">
        <v>4</v>
      </c>
      <c r="H324" s="19">
        <v>4</v>
      </c>
      <c r="I324" s="19">
        <v>2747</v>
      </c>
      <c r="J324" s="25">
        <v>0.993811</v>
      </c>
      <c r="K324" s="26">
        <v>68.004732000000004</v>
      </c>
      <c r="L324" s="26">
        <v>5688</v>
      </c>
      <c r="M324" s="26">
        <v>9</v>
      </c>
      <c r="N324" s="26">
        <v>8</v>
      </c>
      <c r="O324" s="27">
        <v>17</v>
      </c>
      <c r="P324" s="19">
        <v>12</v>
      </c>
      <c r="Q324" s="19">
        <v>1</v>
      </c>
      <c r="R324" s="19" t="s">
        <v>431</v>
      </c>
      <c r="S324" s="26">
        <v>0</v>
      </c>
      <c r="T324" s="28">
        <v>27</v>
      </c>
      <c r="U324" s="19" t="s">
        <v>431</v>
      </c>
      <c r="V324" s="19" t="s">
        <v>431</v>
      </c>
      <c r="X324" t="b">
        <f>VLOOKUP(B324,'M10B Order'!B:F,5,FALSE)=W324</f>
        <v>1</v>
      </c>
    </row>
    <row r="325" spans="1:24" x14ac:dyDescent="0.2">
      <c r="A325" s="19">
        <v>579058166</v>
      </c>
      <c r="B325" s="19" t="s">
        <v>1148</v>
      </c>
      <c r="C325" s="19" t="s">
        <v>1149</v>
      </c>
      <c r="D325" s="19" t="s">
        <v>523</v>
      </c>
      <c r="E325" s="19" t="s">
        <v>1778</v>
      </c>
      <c r="F325" s="19">
        <v>508804198</v>
      </c>
      <c r="G325" s="19">
        <v>4</v>
      </c>
      <c r="H325" s="19">
        <v>4</v>
      </c>
      <c r="I325" s="19">
        <v>1897</v>
      </c>
      <c r="J325" s="25">
        <v>0.97311499999999995</v>
      </c>
      <c r="K325" s="26">
        <v>204.00338000000036</v>
      </c>
      <c r="L325" s="26">
        <v>5796</v>
      </c>
      <c r="M325" s="26">
        <v>9</v>
      </c>
      <c r="N325" s="26">
        <v>8</v>
      </c>
      <c r="O325" s="27">
        <v>17</v>
      </c>
      <c r="P325" s="19">
        <v>12</v>
      </c>
      <c r="Q325" s="19">
        <v>1</v>
      </c>
      <c r="R325" s="19" t="s">
        <v>431</v>
      </c>
      <c r="S325" s="26">
        <v>0</v>
      </c>
      <c r="T325" s="28">
        <v>14</v>
      </c>
      <c r="U325" s="19" t="s">
        <v>1099</v>
      </c>
      <c r="V325" s="19">
        <v>0</v>
      </c>
      <c r="X325" t="b">
        <f>VLOOKUP(B325,'M10B Order'!B:F,5,FALSE)=W325</f>
        <v>1</v>
      </c>
    </row>
    <row r="326" spans="1:24" x14ac:dyDescent="0.2">
      <c r="A326" s="19">
        <v>568940357</v>
      </c>
      <c r="B326" s="19" t="s">
        <v>1085</v>
      </c>
      <c r="C326" s="19" t="s">
        <v>1086</v>
      </c>
      <c r="D326" s="19" t="s">
        <v>523</v>
      </c>
      <c r="E326" s="19" t="s">
        <v>1778</v>
      </c>
      <c r="F326" s="19">
        <v>508804198</v>
      </c>
      <c r="G326" s="19">
        <v>3</v>
      </c>
      <c r="H326" s="19">
        <v>3</v>
      </c>
      <c r="I326" s="19">
        <v>2230</v>
      </c>
      <c r="J326" s="25">
        <v>0.97399100000000005</v>
      </c>
      <c r="K326" s="26">
        <v>174.00020999999967</v>
      </c>
      <c r="L326" s="26">
        <v>4845</v>
      </c>
      <c r="M326" s="26">
        <v>9</v>
      </c>
      <c r="N326" s="26">
        <v>8</v>
      </c>
      <c r="O326" s="27">
        <v>17</v>
      </c>
      <c r="P326" s="19">
        <v>12</v>
      </c>
      <c r="Q326" s="19">
        <v>1</v>
      </c>
      <c r="R326" s="19" t="s">
        <v>431</v>
      </c>
      <c r="S326" s="26">
        <v>0</v>
      </c>
      <c r="T326" s="28">
        <v>20</v>
      </c>
      <c r="U326" s="19">
        <v>0</v>
      </c>
      <c r="V326" s="19" t="s">
        <v>431</v>
      </c>
      <c r="X326" t="b">
        <f>VLOOKUP(B326,'M10B Order'!B:F,5,FALSE)=W326</f>
        <v>1</v>
      </c>
    </row>
    <row r="327" spans="1:24" x14ac:dyDescent="0.2">
      <c r="A327" s="19">
        <v>587520155</v>
      </c>
      <c r="B327" s="19" t="s">
        <v>1784</v>
      </c>
      <c r="C327" s="19" t="s">
        <v>1785</v>
      </c>
      <c r="D327" s="19" t="s">
        <v>1781</v>
      </c>
      <c r="E327" s="19" t="s">
        <v>1778</v>
      </c>
      <c r="F327" s="19">
        <v>508804191</v>
      </c>
      <c r="G327" s="19">
        <v>4</v>
      </c>
      <c r="H327" s="19">
        <v>4</v>
      </c>
      <c r="I327" s="19">
        <v>407</v>
      </c>
      <c r="J327" s="25">
        <v>0.95577400000000001</v>
      </c>
      <c r="K327" s="26">
        <v>71.999927999999983</v>
      </c>
      <c r="L327" s="26">
        <v>1244</v>
      </c>
      <c r="M327" s="26">
        <v>9</v>
      </c>
      <c r="N327" s="26">
        <v>6</v>
      </c>
      <c r="O327" s="27">
        <v>15</v>
      </c>
      <c r="P327" s="19">
        <v>12</v>
      </c>
      <c r="Q327" s="19">
        <v>1</v>
      </c>
      <c r="R327" s="19" t="s">
        <v>431</v>
      </c>
      <c r="S327" s="26">
        <v>0</v>
      </c>
      <c r="T327" s="28">
        <v>18</v>
      </c>
      <c r="U327" s="19" t="s">
        <v>431</v>
      </c>
      <c r="V327" s="19" t="s">
        <v>431</v>
      </c>
      <c r="X327" t="b">
        <f>VLOOKUP(B327,'M10B Order'!B:F,5,FALSE)=W327</f>
        <v>1</v>
      </c>
    </row>
    <row r="328" spans="1:24" x14ac:dyDescent="0.2">
      <c r="A328" s="19">
        <v>587520154</v>
      </c>
      <c r="B328" s="19" t="s">
        <v>1788</v>
      </c>
      <c r="C328" s="19" t="s">
        <v>1789</v>
      </c>
      <c r="D328" s="19" t="s">
        <v>1781</v>
      </c>
      <c r="E328" s="19" t="s">
        <v>1778</v>
      </c>
      <c r="F328" s="19">
        <v>508804191</v>
      </c>
      <c r="G328" s="19">
        <v>4</v>
      </c>
      <c r="H328" s="19">
        <v>4</v>
      </c>
      <c r="I328" s="19">
        <v>407</v>
      </c>
      <c r="J328" s="25">
        <v>0.95823100000000005</v>
      </c>
      <c r="K328" s="26">
        <v>67.999931999999916</v>
      </c>
      <c r="L328" s="26">
        <v>1644</v>
      </c>
      <c r="M328" s="26">
        <v>9</v>
      </c>
      <c r="N328" s="26">
        <v>6</v>
      </c>
      <c r="O328" s="27">
        <v>15</v>
      </c>
      <c r="P328" s="19">
        <v>12</v>
      </c>
      <c r="Q328" s="19">
        <v>1</v>
      </c>
      <c r="R328" s="19" t="s">
        <v>431</v>
      </c>
      <c r="S328" s="26">
        <v>0</v>
      </c>
      <c r="T328" s="28">
        <v>28</v>
      </c>
      <c r="U328" s="19" t="s">
        <v>431</v>
      </c>
      <c r="V328" s="19" t="s">
        <v>431</v>
      </c>
      <c r="X328" t="b">
        <f>VLOOKUP(B328,'M10B Order'!B:F,5,FALSE)=W328</f>
        <v>1</v>
      </c>
    </row>
    <row r="329" spans="1:24" x14ac:dyDescent="0.2">
      <c r="A329" s="19">
        <v>587520156</v>
      </c>
      <c r="B329" s="19" t="s">
        <v>1790</v>
      </c>
      <c r="C329" s="19" t="s">
        <v>1791</v>
      </c>
      <c r="D329" s="19" t="s">
        <v>1781</v>
      </c>
      <c r="E329" s="19" t="s">
        <v>1778</v>
      </c>
      <c r="F329" s="19">
        <v>508804191</v>
      </c>
      <c r="G329" s="19">
        <v>4</v>
      </c>
      <c r="H329" s="19">
        <v>4</v>
      </c>
      <c r="I329" s="19">
        <v>407</v>
      </c>
      <c r="J329" s="25">
        <v>0.95331699999999997</v>
      </c>
      <c r="K329" s="26">
        <v>75.99992400000005</v>
      </c>
      <c r="L329" s="26">
        <v>1568</v>
      </c>
      <c r="M329" s="26">
        <v>9</v>
      </c>
      <c r="N329" s="26">
        <v>6</v>
      </c>
      <c r="O329" s="27">
        <v>15</v>
      </c>
      <c r="P329" s="19">
        <v>12</v>
      </c>
      <c r="Q329" s="19">
        <v>1</v>
      </c>
      <c r="R329" s="19" t="s">
        <v>431</v>
      </c>
      <c r="S329" s="26">
        <v>0</v>
      </c>
      <c r="T329" s="28">
        <v>27</v>
      </c>
      <c r="U329" s="19" t="s">
        <v>431</v>
      </c>
      <c r="V329" s="19" t="s">
        <v>431</v>
      </c>
      <c r="X329" t="b">
        <f>VLOOKUP(B329,'M10B Order'!B:F,5,FALSE)=W329</f>
        <v>1</v>
      </c>
    </row>
    <row r="330" spans="1:24" x14ac:dyDescent="0.2">
      <c r="A330" s="19">
        <v>587520164</v>
      </c>
      <c r="B330" s="19" t="s">
        <v>1802</v>
      </c>
      <c r="C330" s="19" t="s">
        <v>1803</v>
      </c>
      <c r="D330" s="19" t="s">
        <v>1781</v>
      </c>
      <c r="E330" s="19" t="s">
        <v>1778</v>
      </c>
      <c r="F330" s="19">
        <v>508804191</v>
      </c>
      <c r="G330" s="19">
        <v>4</v>
      </c>
      <c r="H330" s="19">
        <v>4</v>
      </c>
      <c r="I330" s="19">
        <v>407</v>
      </c>
      <c r="J330" s="25">
        <v>0.96068799999999999</v>
      </c>
      <c r="K330" s="26">
        <v>63.999936000000019</v>
      </c>
      <c r="L330" s="26">
        <v>1624</v>
      </c>
      <c r="M330" s="26">
        <v>9</v>
      </c>
      <c r="N330" s="26">
        <v>6</v>
      </c>
      <c r="O330" s="27">
        <v>15</v>
      </c>
      <c r="P330" s="19">
        <v>12</v>
      </c>
      <c r="Q330" s="19">
        <v>1</v>
      </c>
      <c r="R330" s="19" t="s">
        <v>431</v>
      </c>
      <c r="S330" s="26">
        <v>0</v>
      </c>
      <c r="T330" s="28">
        <v>25</v>
      </c>
      <c r="U330" s="19" t="s">
        <v>431</v>
      </c>
      <c r="V330" s="19" t="s">
        <v>431</v>
      </c>
      <c r="X330" t="b">
        <f>VLOOKUP(B330,'M10B Order'!B:F,5,FALSE)=W330</f>
        <v>1</v>
      </c>
    </row>
    <row r="331" spans="1:24" x14ac:dyDescent="0.2">
      <c r="A331" s="19">
        <v>587520161</v>
      </c>
      <c r="B331" s="19" t="s">
        <v>1804</v>
      </c>
      <c r="C331" s="19" t="s">
        <v>1805</v>
      </c>
      <c r="D331" s="19" t="s">
        <v>1781</v>
      </c>
      <c r="E331" s="19" t="s">
        <v>1778</v>
      </c>
      <c r="F331" s="19">
        <v>508804191</v>
      </c>
      <c r="G331" s="19">
        <v>4</v>
      </c>
      <c r="H331" s="19">
        <v>4</v>
      </c>
      <c r="I331" s="19">
        <v>407</v>
      </c>
      <c r="J331" s="25">
        <v>0.96068799999999999</v>
      </c>
      <c r="K331" s="26">
        <v>63.999936000000019</v>
      </c>
      <c r="L331" s="26">
        <v>1284</v>
      </c>
      <c r="M331" s="26">
        <v>9</v>
      </c>
      <c r="N331" s="26">
        <v>6</v>
      </c>
      <c r="O331" s="27">
        <v>15</v>
      </c>
      <c r="P331" s="19">
        <v>12</v>
      </c>
      <c r="Q331" s="19">
        <v>1</v>
      </c>
      <c r="R331" s="19" t="s">
        <v>431</v>
      </c>
      <c r="S331" s="26">
        <v>0</v>
      </c>
      <c r="T331" s="28">
        <v>14</v>
      </c>
      <c r="U331" s="19" t="s">
        <v>1882</v>
      </c>
      <c r="V331" s="19">
        <v>519.05884799999944</v>
      </c>
      <c r="X331" t="b">
        <f>VLOOKUP(B331,'M10B Order'!B:F,5,FALSE)=W331</f>
        <v>1</v>
      </c>
    </row>
    <row r="332" spans="1:24" x14ac:dyDescent="0.2">
      <c r="A332" s="19">
        <v>587520173</v>
      </c>
      <c r="B332" s="19" t="s">
        <v>1807</v>
      </c>
      <c r="C332" s="19" t="s">
        <v>1808</v>
      </c>
      <c r="D332" s="19" t="s">
        <v>1781</v>
      </c>
      <c r="E332" s="19" t="s">
        <v>1778</v>
      </c>
      <c r="F332" s="19">
        <v>508804191</v>
      </c>
      <c r="G332" s="19">
        <v>4</v>
      </c>
      <c r="H332" s="19">
        <v>4</v>
      </c>
      <c r="I332" s="19">
        <v>843</v>
      </c>
      <c r="J332" s="25">
        <v>0.97153</v>
      </c>
      <c r="K332" s="26">
        <v>96.000839999999982</v>
      </c>
      <c r="L332" s="26">
        <v>2988</v>
      </c>
      <c r="M332" s="26">
        <v>9</v>
      </c>
      <c r="N332" s="26">
        <v>6</v>
      </c>
      <c r="O332" s="27">
        <v>15</v>
      </c>
      <c r="P332" s="19">
        <v>12</v>
      </c>
      <c r="Q332" s="19">
        <v>1</v>
      </c>
      <c r="R332" s="19" t="s">
        <v>431</v>
      </c>
      <c r="S332" s="26">
        <v>0</v>
      </c>
      <c r="T332" s="28">
        <v>29</v>
      </c>
      <c r="U332" s="19" t="s">
        <v>431</v>
      </c>
      <c r="V332" s="19" t="s">
        <v>431</v>
      </c>
      <c r="X332" t="b">
        <f>VLOOKUP(B332,'M10B Order'!B:F,5,FALSE)=W332</f>
        <v>1</v>
      </c>
    </row>
    <row r="333" spans="1:24" x14ac:dyDescent="0.2">
      <c r="A333" s="19">
        <v>587520171</v>
      </c>
      <c r="B333" s="19" t="s">
        <v>1814</v>
      </c>
      <c r="C333" s="19" t="s">
        <v>1815</v>
      </c>
      <c r="D333" s="19" t="s">
        <v>1781</v>
      </c>
      <c r="E333" s="19" t="s">
        <v>1778</v>
      </c>
      <c r="F333" s="19">
        <v>508804191</v>
      </c>
      <c r="G333" s="19">
        <v>4</v>
      </c>
      <c r="H333" s="19">
        <v>4</v>
      </c>
      <c r="I333" s="19">
        <v>1859</v>
      </c>
      <c r="J333" s="25">
        <v>0.98655199999999998</v>
      </c>
      <c r="K333" s="26">
        <v>99.999328000000119</v>
      </c>
      <c r="L333" s="26">
        <v>5532</v>
      </c>
      <c r="M333" s="26">
        <v>9</v>
      </c>
      <c r="N333" s="26">
        <v>6</v>
      </c>
      <c r="O333" s="27">
        <v>15</v>
      </c>
      <c r="P333" s="19">
        <v>12</v>
      </c>
      <c r="Q333" s="19">
        <v>1</v>
      </c>
      <c r="R333" s="19" t="s">
        <v>431</v>
      </c>
      <c r="S333" s="26">
        <v>0</v>
      </c>
      <c r="T333" s="28">
        <v>29</v>
      </c>
      <c r="U333" s="19" t="s">
        <v>431</v>
      </c>
      <c r="V333" s="19" t="s">
        <v>431</v>
      </c>
      <c r="X333" t="b">
        <f>VLOOKUP(B333,'M10B Order'!B:F,5,FALSE)=W333</f>
        <v>1</v>
      </c>
    </row>
    <row r="334" spans="1:24" x14ac:dyDescent="0.2">
      <c r="A334" s="19">
        <v>587520170</v>
      </c>
      <c r="B334" s="19" t="s">
        <v>1817</v>
      </c>
      <c r="C334" s="19" t="s">
        <v>1818</v>
      </c>
      <c r="D334" s="19" t="s">
        <v>1781</v>
      </c>
      <c r="E334" s="19" t="s">
        <v>1778</v>
      </c>
      <c r="F334" s="19">
        <v>508804191</v>
      </c>
      <c r="G334" s="19">
        <v>4</v>
      </c>
      <c r="H334" s="19">
        <v>4</v>
      </c>
      <c r="I334" s="19">
        <v>1484</v>
      </c>
      <c r="J334" s="25">
        <v>0.98517500000000002</v>
      </c>
      <c r="K334" s="26">
        <v>88.001199999999869</v>
      </c>
      <c r="L334" s="26">
        <v>4179</v>
      </c>
      <c r="M334" s="26">
        <v>9</v>
      </c>
      <c r="N334" s="26">
        <v>6</v>
      </c>
      <c r="O334" s="27">
        <v>15</v>
      </c>
      <c r="P334" s="19">
        <v>12</v>
      </c>
      <c r="Q334" s="19">
        <v>1</v>
      </c>
      <c r="R334" s="19" t="s">
        <v>431</v>
      </c>
      <c r="S334" s="26">
        <v>0</v>
      </c>
      <c r="T334" s="28">
        <v>20</v>
      </c>
      <c r="U334" s="19" t="s">
        <v>431</v>
      </c>
      <c r="V334" s="19" t="s">
        <v>431</v>
      </c>
      <c r="X334" t="b">
        <f>VLOOKUP(B334,'M10B Order'!B:F,5,FALSE)=W334</f>
        <v>1</v>
      </c>
    </row>
    <row r="335" spans="1:24" x14ac:dyDescent="0.2">
      <c r="A335" s="19">
        <v>587520178</v>
      </c>
      <c r="B335" s="19" t="s">
        <v>1819</v>
      </c>
      <c r="C335" s="19" t="s">
        <v>1820</v>
      </c>
      <c r="D335" s="19" t="s">
        <v>1781</v>
      </c>
      <c r="E335" s="19" t="s">
        <v>1778</v>
      </c>
      <c r="F335" s="19">
        <v>508804191</v>
      </c>
      <c r="G335" s="19">
        <v>4</v>
      </c>
      <c r="H335" s="19">
        <v>4</v>
      </c>
      <c r="I335" s="19">
        <v>407</v>
      </c>
      <c r="J335" s="25">
        <v>0.95086000000000004</v>
      </c>
      <c r="K335" s="26">
        <v>79.999919999999932</v>
      </c>
      <c r="L335" s="26">
        <v>936</v>
      </c>
      <c r="M335" s="26">
        <v>9</v>
      </c>
      <c r="N335" s="26">
        <v>6</v>
      </c>
      <c r="O335" s="27">
        <v>15</v>
      </c>
      <c r="P335" s="19">
        <v>12</v>
      </c>
      <c r="Q335" s="19">
        <v>1</v>
      </c>
      <c r="R335" s="19" t="s">
        <v>431</v>
      </c>
      <c r="S335" s="26">
        <v>0</v>
      </c>
      <c r="T335" s="28">
        <v>25</v>
      </c>
      <c r="U335" s="19" t="s">
        <v>431</v>
      </c>
      <c r="V335" s="19" t="s">
        <v>431</v>
      </c>
      <c r="X335" t="b">
        <f>VLOOKUP(B335,'M10B Order'!B:F,5,FALSE)=W335</f>
        <v>1</v>
      </c>
    </row>
    <row r="336" spans="1:24" x14ac:dyDescent="0.2">
      <c r="A336" s="19">
        <v>569023445</v>
      </c>
      <c r="B336" s="19" t="s">
        <v>686</v>
      </c>
      <c r="C336" s="19" t="s">
        <v>687</v>
      </c>
      <c r="D336" s="19" t="s">
        <v>645</v>
      </c>
      <c r="E336" s="19" t="s">
        <v>1777</v>
      </c>
      <c r="F336" s="19">
        <v>508804198</v>
      </c>
      <c r="G336" s="19">
        <v>4</v>
      </c>
      <c r="H336" s="19">
        <v>4</v>
      </c>
      <c r="I336" s="19">
        <v>2389</v>
      </c>
      <c r="J336" s="25">
        <v>0.96567599999999998</v>
      </c>
      <c r="K336" s="26">
        <v>328.0001440000002</v>
      </c>
      <c r="L336" s="26">
        <v>31596</v>
      </c>
      <c r="M336" s="26">
        <v>9</v>
      </c>
      <c r="N336" s="26">
        <v>8</v>
      </c>
      <c r="O336" s="27">
        <v>17</v>
      </c>
      <c r="P336" s="19">
        <v>22</v>
      </c>
      <c r="Q336" s="19">
        <v>4</v>
      </c>
      <c r="R336" s="19" t="s">
        <v>431</v>
      </c>
      <c r="S336" s="26">
        <v>0</v>
      </c>
      <c r="T336" s="28" t="s">
        <v>1933</v>
      </c>
      <c r="U336" s="19" t="s">
        <v>83</v>
      </c>
      <c r="V336" s="19">
        <v>0</v>
      </c>
      <c r="X336" t="b">
        <f>VLOOKUP(B336,'M10B Order'!B:F,5,FALSE)=W336</f>
        <v>1</v>
      </c>
    </row>
    <row r="337" spans="1:24" x14ac:dyDescent="0.2">
      <c r="A337" s="19">
        <v>569042299</v>
      </c>
      <c r="B337" s="19" t="s">
        <v>684</v>
      </c>
      <c r="C337" s="19" t="s">
        <v>685</v>
      </c>
      <c r="D337" s="19" t="s">
        <v>645</v>
      </c>
      <c r="E337" s="19" t="s">
        <v>1777</v>
      </c>
      <c r="F337" s="19">
        <v>508804198</v>
      </c>
      <c r="G337" s="19">
        <v>4</v>
      </c>
      <c r="H337" s="19">
        <v>4</v>
      </c>
      <c r="I337" s="19">
        <v>2230</v>
      </c>
      <c r="J337" s="25">
        <v>0.96457400000000004</v>
      </c>
      <c r="K337" s="26">
        <v>315.99991999999963</v>
      </c>
      <c r="L337" s="26">
        <v>15040</v>
      </c>
      <c r="M337" s="26">
        <v>9</v>
      </c>
      <c r="N337" s="26">
        <v>8</v>
      </c>
      <c r="O337" s="27">
        <v>17</v>
      </c>
      <c r="P337" s="19">
        <v>22</v>
      </c>
      <c r="Q337" s="19">
        <v>4</v>
      </c>
      <c r="R337" s="19" t="s">
        <v>431</v>
      </c>
      <c r="S337" s="26">
        <v>0</v>
      </c>
      <c r="T337" s="28">
        <v>30</v>
      </c>
      <c r="U337" s="19" t="s">
        <v>262</v>
      </c>
      <c r="V337" s="19">
        <v>0</v>
      </c>
      <c r="X337" t="b">
        <f>VLOOKUP(B337,'M10B Order'!B:F,5,FALSE)=W337</f>
        <v>1</v>
      </c>
    </row>
    <row r="338" spans="1:24" x14ac:dyDescent="0.2">
      <c r="A338" s="19">
        <v>569033440</v>
      </c>
      <c r="B338" s="19" t="s">
        <v>682</v>
      </c>
      <c r="C338" s="19" t="s">
        <v>683</v>
      </c>
      <c r="D338" s="19" t="s">
        <v>645</v>
      </c>
      <c r="E338" s="19" t="s">
        <v>1777</v>
      </c>
      <c r="F338" s="19">
        <v>508804198</v>
      </c>
      <c r="G338" s="19">
        <v>4</v>
      </c>
      <c r="H338" s="19">
        <v>4</v>
      </c>
      <c r="I338" s="19">
        <v>2389</v>
      </c>
      <c r="J338" s="25">
        <v>0.96358299999999997</v>
      </c>
      <c r="K338" s="26">
        <v>348.00085200000029</v>
      </c>
      <c r="L338" s="26">
        <v>12624</v>
      </c>
      <c r="M338" s="26">
        <v>9</v>
      </c>
      <c r="N338" s="26">
        <v>8</v>
      </c>
      <c r="O338" s="27">
        <v>17</v>
      </c>
      <c r="P338" s="19">
        <v>22</v>
      </c>
      <c r="Q338" s="19">
        <v>4</v>
      </c>
      <c r="R338" s="19" t="s">
        <v>431</v>
      </c>
      <c r="S338" s="26">
        <v>0</v>
      </c>
      <c r="T338" s="28">
        <v>29</v>
      </c>
      <c r="U338" s="19" t="s">
        <v>139</v>
      </c>
      <c r="V338" s="19">
        <v>0</v>
      </c>
      <c r="X338" t="b">
        <f>VLOOKUP(B338,'M10B Order'!B:F,5,FALSE)=W338</f>
        <v>1</v>
      </c>
    </row>
    <row r="339" spans="1:24" x14ac:dyDescent="0.2">
      <c r="A339" s="19">
        <v>569042287</v>
      </c>
      <c r="B339" s="19" t="s">
        <v>680</v>
      </c>
      <c r="C339" s="19" t="s">
        <v>681</v>
      </c>
      <c r="D339" s="19" t="s">
        <v>645</v>
      </c>
      <c r="E339" s="19" t="s">
        <v>1777</v>
      </c>
      <c r="F339" s="19">
        <v>508804198</v>
      </c>
      <c r="G339" s="19">
        <v>4</v>
      </c>
      <c r="H339" s="19">
        <v>4</v>
      </c>
      <c r="I339" s="19">
        <v>2389</v>
      </c>
      <c r="J339" s="25">
        <v>0.98367499999999997</v>
      </c>
      <c r="K339" s="26">
        <v>156.00170000000031</v>
      </c>
      <c r="L339" s="26">
        <v>15220</v>
      </c>
      <c r="M339" s="26">
        <v>9</v>
      </c>
      <c r="N339" s="26">
        <v>8</v>
      </c>
      <c r="O339" s="27">
        <v>17</v>
      </c>
      <c r="P339" s="19">
        <v>22</v>
      </c>
      <c r="Q339" s="19">
        <v>4</v>
      </c>
      <c r="R339" s="19" t="s">
        <v>431</v>
      </c>
      <c r="S339" s="26">
        <v>0</v>
      </c>
      <c r="T339" s="28" t="s">
        <v>1933</v>
      </c>
      <c r="U339" s="19" t="s">
        <v>151</v>
      </c>
      <c r="V339" s="19">
        <v>0</v>
      </c>
      <c r="X339" t="b">
        <f>VLOOKUP(B339,'M10B Order'!B:F,5,FALSE)=W339</f>
        <v>1</v>
      </c>
    </row>
    <row r="340" spans="1:24" x14ac:dyDescent="0.2">
      <c r="A340" s="19">
        <v>569042311</v>
      </c>
      <c r="B340" s="19" t="s">
        <v>664</v>
      </c>
      <c r="C340" s="19" t="s">
        <v>665</v>
      </c>
      <c r="D340" s="19" t="s">
        <v>645</v>
      </c>
      <c r="E340" s="19" t="s">
        <v>1777</v>
      </c>
      <c r="F340" s="19">
        <v>508804198</v>
      </c>
      <c r="G340" s="19">
        <v>4</v>
      </c>
      <c r="H340" s="19">
        <v>4</v>
      </c>
      <c r="I340" s="19">
        <v>1441</v>
      </c>
      <c r="J340" s="25">
        <v>0.98473299999999997</v>
      </c>
      <c r="K340" s="26">
        <v>87.998988000000182</v>
      </c>
      <c r="L340" s="26">
        <v>9628</v>
      </c>
      <c r="M340" s="26">
        <v>9</v>
      </c>
      <c r="N340" s="26">
        <v>8</v>
      </c>
      <c r="O340" s="27">
        <v>17</v>
      </c>
      <c r="P340" s="19">
        <v>22</v>
      </c>
      <c r="Q340" s="19">
        <v>4</v>
      </c>
      <c r="R340" s="19" t="s">
        <v>431</v>
      </c>
      <c r="S340" s="26">
        <v>0</v>
      </c>
      <c r="T340" s="28" t="s">
        <v>1933</v>
      </c>
      <c r="U340" s="19" t="s">
        <v>773</v>
      </c>
      <c r="V340" s="19">
        <v>0</v>
      </c>
      <c r="X340" t="b">
        <f>VLOOKUP(B340,'M10B Order'!B:F,5,FALSE)=W340</f>
        <v>1</v>
      </c>
    </row>
    <row r="341" spans="1:24" x14ac:dyDescent="0.2">
      <c r="A341" s="19">
        <v>569033178</v>
      </c>
      <c r="B341" s="19" t="s">
        <v>678</v>
      </c>
      <c r="C341" s="19" t="s">
        <v>679</v>
      </c>
      <c r="D341" s="19" t="s">
        <v>645</v>
      </c>
      <c r="E341" s="19" t="s">
        <v>1777</v>
      </c>
      <c r="F341" s="19">
        <v>508804198</v>
      </c>
      <c r="G341" s="19">
        <v>4</v>
      </c>
      <c r="H341" s="19">
        <v>4</v>
      </c>
      <c r="I341" s="19">
        <v>2389</v>
      </c>
      <c r="J341" s="25">
        <v>0.95772299999999999</v>
      </c>
      <c r="K341" s="26">
        <v>403.99901200000011</v>
      </c>
      <c r="L341" s="26">
        <v>9932</v>
      </c>
      <c r="M341" s="26">
        <v>9</v>
      </c>
      <c r="N341" s="26">
        <v>8</v>
      </c>
      <c r="O341" s="27">
        <v>17</v>
      </c>
      <c r="P341" s="19">
        <v>22</v>
      </c>
      <c r="Q341" s="19">
        <v>4</v>
      </c>
      <c r="R341" s="19" t="s">
        <v>431</v>
      </c>
      <c r="S341" s="26">
        <v>0</v>
      </c>
      <c r="T341" s="28">
        <v>32</v>
      </c>
      <c r="U341" s="19" t="s">
        <v>7</v>
      </c>
      <c r="V341" s="19">
        <v>0</v>
      </c>
      <c r="X341" t="b">
        <f>VLOOKUP(B341,'M10B Order'!B:F,5,FALSE)=W341</f>
        <v>1</v>
      </c>
    </row>
    <row r="342" spans="1:24" x14ac:dyDescent="0.2">
      <c r="A342" s="19">
        <v>569042289</v>
      </c>
      <c r="B342" s="19" t="s">
        <v>676</v>
      </c>
      <c r="C342" s="19" t="s">
        <v>677</v>
      </c>
      <c r="D342" s="19" t="s">
        <v>645</v>
      </c>
      <c r="E342" s="19" t="s">
        <v>1777</v>
      </c>
      <c r="F342" s="19">
        <v>508804198</v>
      </c>
      <c r="G342" s="19">
        <v>4</v>
      </c>
      <c r="H342" s="19">
        <v>4</v>
      </c>
      <c r="I342" s="19">
        <v>2389</v>
      </c>
      <c r="J342" s="25">
        <v>0.95855999999999997</v>
      </c>
      <c r="K342" s="26">
        <v>396.00064000000032</v>
      </c>
      <c r="L342" s="26">
        <v>12356</v>
      </c>
      <c r="M342" s="26">
        <v>9</v>
      </c>
      <c r="N342" s="26">
        <v>8</v>
      </c>
      <c r="O342" s="27">
        <v>17</v>
      </c>
      <c r="P342" s="19">
        <v>22</v>
      </c>
      <c r="Q342" s="19">
        <v>4</v>
      </c>
      <c r="R342" s="19" t="s">
        <v>431</v>
      </c>
      <c r="S342" s="26">
        <v>0</v>
      </c>
      <c r="T342" s="28">
        <v>34</v>
      </c>
      <c r="U342" s="19" t="s">
        <v>105</v>
      </c>
      <c r="V342" s="19">
        <v>0</v>
      </c>
      <c r="X342" t="b">
        <f>VLOOKUP(B342,'M10B Order'!B:F,5,FALSE)=W342</f>
        <v>1</v>
      </c>
    </row>
    <row r="343" spans="1:24" x14ac:dyDescent="0.2">
      <c r="A343" s="19">
        <v>569042308</v>
      </c>
      <c r="B343" s="19" t="s">
        <v>674</v>
      </c>
      <c r="C343" s="19" t="s">
        <v>675</v>
      </c>
      <c r="D343" s="19" t="s">
        <v>645</v>
      </c>
      <c r="E343" s="19" t="s">
        <v>1777</v>
      </c>
      <c r="F343" s="19">
        <v>508804198</v>
      </c>
      <c r="G343" s="19">
        <v>4</v>
      </c>
      <c r="H343" s="19">
        <v>4</v>
      </c>
      <c r="I343" s="19">
        <v>2016</v>
      </c>
      <c r="J343" s="25">
        <v>0.96131</v>
      </c>
      <c r="K343" s="26">
        <v>311.99616000000003</v>
      </c>
      <c r="L343" s="26">
        <v>25080</v>
      </c>
      <c r="M343" s="26">
        <v>9</v>
      </c>
      <c r="N343" s="26">
        <v>8</v>
      </c>
      <c r="O343" s="27">
        <v>17</v>
      </c>
      <c r="P343" s="19">
        <v>22</v>
      </c>
      <c r="Q343" s="19">
        <v>4</v>
      </c>
      <c r="R343" s="19" t="s">
        <v>431</v>
      </c>
      <c r="S343" s="26">
        <v>0</v>
      </c>
      <c r="T343" s="28" t="s">
        <v>1933</v>
      </c>
      <c r="U343" s="19" t="s">
        <v>129</v>
      </c>
      <c r="V343" s="19">
        <v>0</v>
      </c>
      <c r="X343" t="b">
        <f>VLOOKUP(B343,'M10B Order'!B:F,5,FALSE)=W343</f>
        <v>1</v>
      </c>
    </row>
    <row r="344" spans="1:24" x14ac:dyDescent="0.2">
      <c r="A344" s="19">
        <v>569033127</v>
      </c>
      <c r="B344" s="19" t="s">
        <v>662</v>
      </c>
      <c r="C344" s="19" t="s">
        <v>663</v>
      </c>
      <c r="D344" s="19" t="s">
        <v>645</v>
      </c>
      <c r="E344" s="19" t="s">
        <v>1777</v>
      </c>
      <c r="F344" s="19">
        <v>508804198</v>
      </c>
      <c r="G344" s="19">
        <v>4</v>
      </c>
      <c r="H344" s="19">
        <v>4</v>
      </c>
      <c r="I344" s="19">
        <v>2230</v>
      </c>
      <c r="J344" s="25">
        <v>0.96009</v>
      </c>
      <c r="K344" s="26">
        <v>355.99720000000002</v>
      </c>
      <c r="L344" s="26">
        <v>16744</v>
      </c>
      <c r="M344" s="26">
        <v>9</v>
      </c>
      <c r="N344" s="26">
        <v>8</v>
      </c>
      <c r="O344" s="27">
        <v>17</v>
      </c>
      <c r="P344" s="19">
        <v>22</v>
      </c>
      <c r="Q344" s="19">
        <v>4</v>
      </c>
      <c r="R344" s="19" t="s">
        <v>431</v>
      </c>
      <c r="S344" s="26">
        <v>0</v>
      </c>
      <c r="T344" s="28">
        <v>33</v>
      </c>
      <c r="U344" s="19" t="s">
        <v>229</v>
      </c>
      <c r="V344" s="19">
        <v>3486.2613440000055</v>
      </c>
      <c r="X344" t="b">
        <f>VLOOKUP(B344,'M10B Order'!B:F,5,FALSE)=W344</f>
        <v>1</v>
      </c>
    </row>
    <row r="345" spans="1:24" x14ac:dyDescent="0.2">
      <c r="A345" s="19">
        <v>569042313</v>
      </c>
      <c r="B345" s="19" t="s">
        <v>660</v>
      </c>
      <c r="C345" s="19" t="s">
        <v>661</v>
      </c>
      <c r="D345" s="19" t="s">
        <v>645</v>
      </c>
      <c r="E345" s="19" t="s">
        <v>1777</v>
      </c>
      <c r="F345" s="19">
        <v>508804198</v>
      </c>
      <c r="G345" s="19">
        <v>4</v>
      </c>
      <c r="H345" s="19">
        <v>4</v>
      </c>
      <c r="I345" s="19">
        <v>2389</v>
      </c>
      <c r="J345" s="25">
        <v>0.96944300000000005</v>
      </c>
      <c r="K345" s="26">
        <v>292.00269199999946</v>
      </c>
      <c r="L345" s="26">
        <v>8864</v>
      </c>
      <c r="M345" s="26">
        <v>9</v>
      </c>
      <c r="N345" s="26">
        <v>8</v>
      </c>
      <c r="O345" s="27">
        <v>17</v>
      </c>
      <c r="P345" s="19">
        <v>22</v>
      </c>
      <c r="Q345" s="19">
        <v>4</v>
      </c>
      <c r="R345" s="19" t="s">
        <v>431</v>
      </c>
      <c r="S345" s="26">
        <v>0</v>
      </c>
      <c r="T345" s="28">
        <v>29</v>
      </c>
      <c r="U345" s="19" t="s">
        <v>13</v>
      </c>
      <c r="V345" s="19">
        <v>0</v>
      </c>
      <c r="X345" t="b">
        <f>VLOOKUP(B345,'M10B Order'!B:F,5,FALSE)=W345</f>
        <v>1</v>
      </c>
    </row>
    <row r="346" spans="1:24" x14ac:dyDescent="0.2">
      <c r="A346" s="19">
        <v>569023433</v>
      </c>
      <c r="B346" s="19" t="s">
        <v>658</v>
      </c>
      <c r="C346" s="19" t="s">
        <v>659</v>
      </c>
      <c r="D346" s="19" t="s">
        <v>645</v>
      </c>
      <c r="E346" s="19" t="s">
        <v>1777</v>
      </c>
      <c r="F346" s="19">
        <v>508804198</v>
      </c>
      <c r="G346" s="19">
        <v>4</v>
      </c>
      <c r="H346" s="19">
        <v>4</v>
      </c>
      <c r="I346" s="19">
        <v>2389</v>
      </c>
      <c r="J346" s="25">
        <v>0.95897900000000003</v>
      </c>
      <c r="K346" s="26">
        <v>391.99667599999975</v>
      </c>
      <c r="L346" s="26">
        <v>11520</v>
      </c>
      <c r="M346" s="26">
        <v>9</v>
      </c>
      <c r="N346" s="26">
        <v>8</v>
      </c>
      <c r="O346" s="27">
        <v>17</v>
      </c>
      <c r="P346" s="19">
        <v>22</v>
      </c>
      <c r="Q346" s="19">
        <v>4</v>
      </c>
      <c r="R346" s="19" t="s">
        <v>431</v>
      </c>
      <c r="S346" s="26">
        <v>0</v>
      </c>
      <c r="T346" s="28" t="s">
        <v>1933</v>
      </c>
      <c r="U346" s="19" t="s">
        <v>89</v>
      </c>
      <c r="V346" s="19">
        <v>0</v>
      </c>
      <c r="X346" t="b">
        <f>VLOOKUP(B346,'M10B Order'!B:F,5,FALSE)=W346</f>
        <v>1</v>
      </c>
    </row>
    <row r="347" spans="1:24" x14ac:dyDescent="0.2">
      <c r="A347" s="19">
        <v>569033441</v>
      </c>
      <c r="B347" s="19" t="s">
        <v>656</v>
      </c>
      <c r="C347" s="19" t="s">
        <v>657</v>
      </c>
      <c r="D347" s="19" t="s">
        <v>645</v>
      </c>
      <c r="E347" s="19" t="s">
        <v>1777</v>
      </c>
      <c r="F347" s="19">
        <v>508804198</v>
      </c>
      <c r="G347" s="19">
        <v>4</v>
      </c>
      <c r="H347" s="19">
        <v>4</v>
      </c>
      <c r="I347" s="19">
        <v>2230</v>
      </c>
      <c r="J347" s="25">
        <v>0.97443900000000006</v>
      </c>
      <c r="K347" s="26">
        <v>228.00411999999952</v>
      </c>
      <c r="L347" s="26">
        <v>19436</v>
      </c>
      <c r="M347" s="26">
        <v>9</v>
      </c>
      <c r="N347" s="26">
        <v>8</v>
      </c>
      <c r="O347" s="27">
        <v>17</v>
      </c>
      <c r="P347" s="19">
        <v>22</v>
      </c>
      <c r="Q347" s="19">
        <v>4</v>
      </c>
      <c r="R347" s="19" t="s">
        <v>431</v>
      </c>
      <c r="S347" s="26">
        <v>0</v>
      </c>
      <c r="T347" s="28" t="s">
        <v>1933</v>
      </c>
      <c r="U347" s="19" t="s">
        <v>97</v>
      </c>
      <c r="V347" s="19">
        <v>0</v>
      </c>
      <c r="X347" t="b">
        <f>VLOOKUP(B347,'M10B Order'!B:F,5,FALSE)=W347</f>
        <v>1</v>
      </c>
    </row>
    <row r="348" spans="1:24" x14ac:dyDescent="0.2">
      <c r="A348" s="19">
        <v>569042281</v>
      </c>
      <c r="B348" s="19" t="s">
        <v>646</v>
      </c>
      <c r="C348" s="19" t="s">
        <v>647</v>
      </c>
      <c r="D348" s="19" t="s">
        <v>645</v>
      </c>
      <c r="E348" s="19" t="s">
        <v>1777</v>
      </c>
      <c r="F348" s="19">
        <v>508804198</v>
      </c>
      <c r="G348" s="19">
        <v>4</v>
      </c>
      <c r="H348" s="19">
        <v>4</v>
      </c>
      <c r="I348" s="19">
        <v>2389</v>
      </c>
      <c r="J348" s="25">
        <v>0.95353699999999997</v>
      </c>
      <c r="K348" s="26">
        <v>444.00042800000028</v>
      </c>
      <c r="L348" s="26">
        <v>11588</v>
      </c>
      <c r="M348" s="26">
        <v>9</v>
      </c>
      <c r="N348" s="26">
        <v>8</v>
      </c>
      <c r="O348" s="27">
        <v>17</v>
      </c>
      <c r="P348" s="19">
        <v>22</v>
      </c>
      <c r="Q348" s="19">
        <v>4</v>
      </c>
      <c r="R348" s="19" t="s">
        <v>431</v>
      </c>
      <c r="S348" s="26">
        <v>0</v>
      </c>
      <c r="T348" s="28" t="s">
        <v>1933</v>
      </c>
      <c r="U348" s="19" t="s">
        <v>350</v>
      </c>
      <c r="V348" s="19">
        <v>0</v>
      </c>
      <c r="X348" t="b">
        <f>VLOOKUP(B348,'M10B Order'!B:F,5,FALSE)=W348</f>
        <v>1</v>
      </c>
    </row>
    <row r="349" spans="1:24" x14ac:dyDescent="0.2">
      <c r="A349" s="19">
        <v>569033064</v>
      </c>
      <c r="B349" s="19" t="s">
        <v>666</v>
      </c>
      <c r="C349" s="19" t="s">
        <v>667</v>
      </c>
      <c r="D349" s="19" t="s">
        <v>645</v>
      </c>
      <c r="E349" s="19" t="s">
        <v>1777</v>
      </c>
      <c r="F349" s="19">
        <v>508804198</v>
      </c>
      <c r="G349" s="19">
        <v>4</v>
      </c>
      <c r="H349" s="19">
        <v>4</v>
      </c>
      <c r="I349" s="19">
        <v>2389</v>
      </c>
      <c r="J349" s="25">
        <v>0.95311800000000002</v>
      </c>
      <c r="K349" s="26">
        <v>448.00439199999983</v>
      </c>
      <c r="L349" s="26">
        <v>4460</v>
      </c>
      <c r="M349" s="26">
        <v>9</v>
      </c>
      <c r="N349" s="26">
        <v>8</v>
      </c>
      <c r="O349" s="27">
        <v>17</v>
      </c>
      <c r="P349" s="19">
        <v>22</v>
      </c>
      <c r="Q349" s="19">
        <v>4</v>
      </c>
      <c r="R349" s="19" t="s">
        <v>431</v>
      </c>
      <c r="S349" s="26">
        <v>0</v>
      </c>
      <c r="T349" s="28">
        <v>34</v>
      </c>
      <c r="U349" s="19" t="s">
        <v>227</v>
      </c>
      <c r="V349" s="19">
        <v>0</v>
      </c>
      <c r="X349" t="b">
        <f>VLOOKUP(B349,'M10B Order'!B:F,5,FALSE)=W349</f>
        <v>1</v>
      </c>
    </row>
    <row r="350" spans="1:24" x14ac:dyDescent="0.2">
      <c r="A350" s="19">
        <v>596528959</v>
      </c>
      <c r="B350" s="19" t="s">
        <v>1936</v>
      </c>
      <c r="C350" s="19" t="s">
        <v>1826</v>
      </c>
      <c r="D350" s="19" t="s">
        <v>1938</v>
      </c>
      <c r="E350" s="19" t="s">
        <v>1777</v>
      </c>
      <c r="F350" s="19">
        <v>508804198</v>
      </c>
      <c r="G350" s="19">
        <v>4</v>
      </c>
      <c r="H350" s="19">
        <v>4</v>
      </c>
      <c r="I350" s="19">
        <v>0</v>
      </c>
      <c r="J350" s="25">
        <v>0</v>
      </c>
      <c r="K350" s="26">
        <v>0</v>
      </c>
      <c r="L350" s="26">
        <v>0</v>
      </c>
      <c r="M350" s="26">
        <v>9</v>
      </c>
      <c r="N350" s="26">
        <v>8</v>
      </c>
      <c r="O350" s="27">
        <v>17</v>
      </c>
      <c r="P350" s="19">
        <v>22</v>
      </c>
      <c r="Q350" s="19">
        <v>4</v>
      </c>
      <c r="R350" s="19" t="s">
        <v>431</v>
      </c>
      <c r="S350" s="26">
        <v>0</v>
      </c>
      <c r="T350" s="28" t="s">
        <v>1933</v>
      </c>
      <c r="U350" s="19">
        <v>0</v>
      </c>
      <c r="V350" s="19" t="s">
        <v>431</v>
      </c>
      <c r="X350" t="b">
        <f>VLOOKUP(B350,'M10B Order'!B:F,5,FALSE)=W350</f>
        <v>1</v>
      </c>
    </row>
    <row r="351" spans="1:24" x14ac:dyDescent="0.2">
      <c r="A351" s="19">
        <v>567240461</v>
      </c>
      <c r="B351" s="19" t="s">
        <v>598</v>
      </c>
      <c r="C351" s="19" t="s">
        <v>597</v>
      </c>
      <c r="D351" s="19" t="s">
        <v>596</v>
      </c>
      <c r="E351" s="19" t="s">
        <v>1777</v>
      </c>
      <c r="F351" s="19">
        <v>508804198</v>
      </c>
      <c r="G351" s="19">
        <v>3</v>
      </c>
      <c r="H351" s="19">
        <v>3</v>
      </c>
      <c r="I351" s="19">
        <v>3484</v>
      </c>
      <c r="J351" s="25">
        <v>0.94776099999999996</v>
      </c>
      <c r="K351" s="26">
        <v>546.00202800000034</v>
      </c>
      <c r="L351" s="26">
        <v>3309</v>
      </c>
      <c r="M351" s="26">
        <v>11</v>
      </c>
      <c r="N351" s="26">
        <v>8</v>
      </c>
      <c r="O351" s="27">
        <v>19</v>
      </c>
      <c r="P351" s="19">
        <v>22</v>
      </c>
      <c r="Q351" s="19">
        <v>4</v>
      </c>
      <c r="R351" s="19" t="s">
        <v>431</v>
      </c>
      <c r="S351" s="26">
        <v>0</v>
      </c>
      <c r="T351" s="28">
        <v>28</v>
      </c>
      <c r="U351" s="19" t="s">
        <v>235</v>
      </c>
      <c r="V351" s="19">
        <v>0</v>
      </c>
      <c r="X351" t="b">
        <f>VLOOKUP(B351,'M10B Order'!B:F,5,FALSE)=W351</f>
        <v>1</v>
      </c>
    </row>
    <row r="352" spans="1:24" x14ac:dyDescent="0.2">
      <c r="A352" s="19">
        <v>569033437</v>
      </c>
      <c r="B352" s="19" t="s">
        <v>632</v>
      </c>
      <c r="C352" s="19" t="s">
        <v>633</v>
      </c>
      <c r="D352" s="19" t="s">
        <v>617</v>
      </c>
      <c r="E352" s="19" t="s">
        <v>1777</v>
      </c>
      <c r="F352" s="19">
        <v>508804198</v>
      </c>
      <c r="G352" s="19">
        <v>4</v>
      </c>
      <c r="H352" s="19">
        <v>4</v>
      </c>
      <c r="I352" s="19">
        <v>1845</v>
      </c>
      <c r="J352" s="25">
        <v>0.95664000000000005</v>
      </c>
      <c r="K352" s="26">
        <v>319.99679999999967</v>
      </c>
      <c r="L352" s="26">
        <v>5260</v>
      </c>
      <c r="M352" s="26">
        <v>9</v>
      </c>
      <c r="N352" s="26">
        <v>8</v>
      </c>
      <c r="O352" s="27">
        <v>17</v>
      </c>
      <c r="P352" s="19">
        <v>22</v>
      </c>
      <c r="Q352" s="19">
        <v>4</v>
      </c>
      <c r="R352" s="19" t="s">
        <v>431</v>
      </c>
      <c r="S352" s="26">
        <v>0</v>
      </c>
      <c r="T352" s="28">
        <v>29</v>
      </c>
      <c r="U352" s="19" t="s">
        <v>7</v>
      </c>
      <c r="V352" s="19">
        <v>0</v>
      </c>
      <c r="X352" t="b">
        <f>VLOOKUP(B352,'M10B Order'!B:F,5,FALSE)=W352</f>
        <v>1</v>
      </c>
    </row>
    <row r="353" spans="1:24" x14ac:dyDescent="0.2">
      <c r="A353" s="19">
        <v>569023432</v>
      </c>
      <c r="B353" s="19" t="s">
        <v>620</v>
      </c>
      <c r="C353" s="19" t="s">
        <v>621</v>
      </c>
      <c r="D353" s="19" t="s">
        <v>617</v>
      </c>
      <c r="E353" s="19" t="s">
        <v>1777</v>
      </c>
      <c r="F353" s="19">
        <v>508804198</v>
      </c>
      <c r="G353" s="19">
        <v>4</v>
      </c>
      <c r="H353" s="19">
        <v>4</v>
      </c>
      <c r="I353" s="19">
        <v>1845</v>
      </c>
      <c r="J353" s="25">
        <v>0.97777800000000004</v>
      </c>
      <c r="K353" s="26">
        <v>163.99835999999974</v>
      </c>
      <c r="L353" s="26">
        <v>4380</v>
      </c>
      <c r="M353" s="26">
        <v>9</v>
      </c>
      <c r="N353" s="26">
        <v>8</v>
      </c>
      <c r="O353" s="27">
        <v>17</v>
      </c>
      <c r="P353" s="19">
        <v>22</v>
      </c>
      <c r="Q353" s="19">
        <v>4</v>
      </c>
      <c r="R353" s="19" t="s">
        <v>431</v>
      </c>
      <c r="S353" s="26">
        <v>0</v>
      </c>
      <c r="T353" s="28">
        <v>28</v>
      </c>
      <c r="U353" s="19" t="s">
        <v>11</v>
      </c>
      <c r="V353" s="19">
        <v>0</v>
      </c>
      <c r="X353" t="b">
        <f>VLOOKUP(B353,'M10B Order'!B:F,5,FALSE)=W353</f>
        <v>1</v>
      </c>
    </row>
    <row r="354" spans="1:24" x14ac:dyDescent="0.2">
      <c r="A354" s="19">
        <v>573626524</v>
      </c>
      <c r="B354" s="19" t="s">
        <v>971</v>
      </c>
      <c r="C354" s="19" t="s">
        <v>972</v>
      </c>
      <c r="D354" s="19" t="s">
        <v>617</v>
      </c>
      <c r="E354" s="19" t="s">
        <v>1777</v>
      </c>
      <c r="F354" s="19">
        <v>508804198</v>
      </c>
      <c r="G354" s="19">
        <v>4</v>
      </c>
      <c r="H354" s="19">
        <v>4</v>
      </c>
      <c r="I354" s="19">
        <v>1441</v>
      </c>
      <c r="J354" s="25">
        <v>0.97987500000000005</v>
      </c>
      <c r="K354" s="26">
        <v>116.0004999999997</v>
      </c>
      <c r="L354" s="26">
        <v>7036</v>
      </c>
      <c r="M354" s="26">
        <v>9</v>
      </c>
      <c r="N354" s="26">
        <v>8</v>
      </c>
      <c r="O354" s="27">
        <v>17</v>
      </c>
      <c r="P354" s="19">
        <v>22</v>
      </c>
      <c r="Q354" s="19">
        <v>4</v>
      </c>
      <c r="R354" s="19" t="s">
        <v>431</v>
      </c>
      <c r="S354" s="26">
        <v>0</v>
      </c>
      <c r="T354" s="28" t="s">
        <v>1933</v>
      </c>
      <c r="U354" s="19" t="s">
        <v>99</v>
      </c>
      <c r="V354" s="19">
        <v>0</v>
      </c>
      <c r="X354" t="b">
        <f>VLOOKUP(B354,'M10B Order'!B:F,5,FALSE)=W354</f>
        <v>1</v>
      </c>
    </row>
    <row r="355" spans="1:24" x14ac:dyDescent="0.2">
      <c r="A355" s="19">
        <v>573626506</v>
      </c>
      <c r="B355" s="19" t="s">
        <v>969</v>
      </c>
      <c r="C355" s="19" t="s">
        <v>970</v>
      </c>
      <c r="D355" s="19" t="s">
        <v>617</v>
      </c>
      <c r="E355" s="19" t="s">
        <v>1777</v>
      </c>
      <c r="F355" s="19">
        <v>508804198</v>
      </c>
      <c r="G355" s="19">
        <v>4</v>
      </c>
      <c r="H355" s="19">
        <v>4</v>
      </c>
      <c r="I355" s="19">
        <v>800</v>
      </c>
      <c r="J355" s="25">
        <v>0.98624999999999996</v>
      </c>
      <c r="K355" s="26">
        <v>44.000000000000128</v>
      </c>
      <c r="L355" s="26">
        <v>3844</v>
      </c>
      <c r="M355" s="26">
        <v>9</v>
      </c>
      <c r="N355" s="26">
        <v>8</v>
      </c>
      <c r="O355" s="27">
        <v>17</v>
      </c>
      <c r="P355" s="19">
        <v>22</v>
      </c>
      <c r="Q355" s="19">
        <v>4</v>
      </c>
      <c r="R355" s="19" t="s">
        <v>431</v>
      </c>
      <c r="S355" s="26">
        <v>0</v>
      </c>
      <c r="T355" s="28" t="s">
        <v>1933</v>
      </c>
      <c r="U355" s="19" t="s">
        <v>139</v>
      </c>
      <c r="V355" s="19">
        <v>0</v>
      </c>
      <c r="X355" t="b">
        <f>VLOOKUP(B355,'M10B Order'!B:F,5,FALSE)=W355</f>
        <v>1</v>
      </c>
    </row>
    <row r="356" spans="1:24" x14ac:dyDescent="0.2">
      <c r="A356" s="19">
        <v>573626540</v>
      </c>
      <c r="B356" s="19" t="s">
        <v>961</v>
      </c>
      <c r="C356" s="19" t="s">
        <v>962</v>
      </c>
      <c r="D356" s="19" t="s">
        <v>617</v>
      </c>
      <c r="E356" s="19" t="s">
        <v>1777</v>
      </c>
      <c r="F356" s="19">
        <v>508804198</v>
      </c>
      <c r="G356" s="19">
        <v>4</v>
      </c>
      <c r="H356" s="19">
        <v>4</v>
      </c>
      <c r="I356" s="19">
        <v>800</v>
      </c>
      <c r="J356" s="25">
        <v>0.98124999999999996</v>
      </c>
      <c r="K356" s="26">
        <v>60.000000000000142</v>
      </c>
      <c r="L356" s="26">
        <v>2872</v>
      </c>
      <c r="M356" s="26">
        <v>9</v>
      </c>
      <c r="N356" s="26">
        <v>8</v>
      </c>
      <c r="O356" s="27">
        <v>17</v>
      </c>
      <c r="P356" s="19">
        <v>22</v>
      </c>
      <c r="Q356" s="19">
        <v>4</v>
      </c>
      <c r="R356" s="19" t="s">
        <v>431</v>
      </c>
      <c r="S356" s="26">
        <v>0</v>
      </c>
      <c r="T356" s="28" t="s">
        <v>1933</v>
      </c>
      <c r="U356" s="19" t="s">
        <v>83</v>
      </c>
      <c r="V356" s="19">
        <v>0</v>
      </c>
      <c r="X356" t="b">
        <f>VLOOKUP(B356,'M10B Order'!B:F,5,FALSE)=W356</f>
        <v>1</v>
      </c>
    </row>
    <row r="357" spans="1:24" x14ac:dyDescent="0.2">
      <c r="A357" s="19">
        <v>569033434</v>
      </c>
      <c r="B357" s="19" t="s">
        <v>613</v>
      </c>
      <c r="C357" s="19" t="s">
        <v>614</v>
      </c>
      <c r="D357" s="19" t="s">
        <v>606</v>
      </c>
      <c r="E357" s="19" t="s">
        <v>1777</v>
      </c>
      <c r="F357" s="19">
        <v>508804198</v>
      </c>
      <c r="G357" s="19">
        <v>4</v>
      </c>
      <c r="H357" s="19">
        <v>4</v>
      </c>
      <c r="I357" s="19">
        <v>1470</v>
      </c>
      <c r="J357" s="25">
        <v>0.95986400000000005</v>
      </c>
      <c r="K357" s="26">
        <v>235.9996799999997</v>
      </c>
      <c r="L357" s="26">
        <v>4876</v>
      </c>
      <c r="M357" s="26">
        <v>9</v>
      </c>
      <c r="N357" s="26">
        <v>8</v>
      </c>
      <c r="O357" s="27">
        <v>17</v>
      </c>
      <c r="P357" s="19">
        <v>22</v>
      </c>
      <c r="Q357" s="19">
        <v>4</v>
      </c>
      <c r="R357" s="19" t="s">
        <v>431</v>
      </c>
      <c r="S357" s="26">
        <v>0</v>
      </c>
      <c r="T357" s="28">
        <v>30</v>
      </c>
      <c r="U357" s="19" t="s">
        <v>7</v>
      </c>
      <c r="V357" s="19">
        <v>0</v>
      </c>
      <c r="X357" t="b">
        <f>VLOOKUP(B357,'M10B Order'!B:F,5,FALSE)=W357</f>
        <v>1</v>
      </c>
    </row>
    <row r="358" spans="1:24" x14ac:dyDescent="0.2">
      <c r="A358" s="19">
        <v>554919643</v>
      </c>
      <c r="B358" s="19" t="s">
        <v>235</v>
      </c>
      <c r="C358" s="19" t="s">
        <v>234</v>
      </c>
      <c r="D358" s="19" t="s">
        <v>373</v>
      </c>
      <c r="E358" s="19" t="s">
        <v>1777</v>
      </c>
      <c r="F358" s="19">
        <v>508804191</v>
      </c>
      <c r="G358" s="19">
        <v>8</v>
      </c>
      <c r="H358" s="19">
        <v>8</v>
      </c>
      <c r="I358" s="19">
        <v>856</v>
      </c>
      <c r="J358" s="25">
        <v>0.94859800000000005</v>
      </c>
      <c r="K358" s="26">
        <v>352.00089599999967</v>
      </c>
      <c r="L358" s="26">
        <v>1800</v>
      </c>
      <c r="M358" s="26">
        <v>8</v>
      </c>
      <c r="N358" s="26">
        <v>6</v>
      </c>
      <c r="O358" s="27">
        <v>14</v>
      </c>
      <c r="P358" s="19">
        <v>22</v>
      </c>
      <c r="Q358" s="19">
        <v>4</v>
      </c>
      <c r="R358" s="19" t="s">
        <v>431</v>
      </c>
      <c r="S358" s="26">
        <v>0</v>
      </c>
      <c r="T358" s="28">
        <v>36</v>
      </c>
      <c r="U358" s="19" t="s">
        <v>598</v>
      </c>
      <c r="V358" s="19">
        <v>0</v>
      </c>
      <c r="X358" t="b">
        <f>VLOOKUP(B358,'M10B Order'!B:F,5,FALSE)=W358</f>
        <v>1</v>
      </c>
    </row>
    <row r="359" spans="1:24" x14ac:dyDescent="0.2">
      <c r="A359" s="19">
        <v>584323911</v>
      </c>
      <c r="B359" s="19" t="s">
        <v>1704</v>
      </c>
      <c r="C359" s="19" t="s">
        <v>1705</v>
      </c>
      <c r="D359" s="19" t="s">
        <v>1687</v>
      </c>
      <c r="E359" s="19" t="s">
        <v>1777</v>
      </c>
      <c r="F359" s="19">
        <v>508804198</v>
      </c>
      <c r="G359" s="19">
        <v>15</v>
      </c>
      <c r="H359" s="19">
        <v>15</v>
      </c>
      <c r="I359" s="19">
        <v>2912</v>
      </c>
      <c r="J359" s="25">
        <v>0.96119500000000002</v>
      </c>
      <c r="K359" s="26">
        <v>1695.0023999999989</v>
      </c>
      <c r="L359" s="26">
        <v>23700</v>
      </c>
      <c r="M359" s="26">
        <v>9</v>
      </c>
      <c r="N359" s="26">
        <v>8</v>
      </c>
      <c r="O359" s="27">
        <v>17</v>
      </c>
      <c r="P359" s="19">
        <v>22</v>
      </c>
      <c r="Q359" s="19">
        <v>4</v>
      </c>
      <c r="R359" s="19" t="s">
        <v>431</v>
      </c>
      <c r="S359" s="26">
        <v>0</v>
      </c>
      <c r="T359" s="28" t="s">
        <v>1933</v>
      </c>
      <c r="U359" s="19">
        <v>0</v>
      </c>
      <c r="V359" s="19" t="s">
        <v>431</v>
      </c>
      <c r="X359" t="b">
        <f>VLOOKUP(B359,'M10B Order'!B:F,5,FALSE)=W359</f>
        <v>1</v>
      </c>
    </row>
    <row r="360" spans="1:24" x14ac:dyDescent="0.2">
      <c r="A360" s="19">
        <v>584323903</v>
      </c>
      <c r="B360" s="19" t="s">
        <v>1714</v>
      </c>
      <c r="C360" s="19" t="s">
        <v>1715</v>
      </c>
      <c r="D360" s="19" t="s">
        <v>1687</v>
      </c>
      <c r="E360" s="19" t="s">
        <v>1777</v>
      </c>
      <c r="F360" s="19">
        <v>508804198</v>
      </c>
      <c r="G360" s="19">
        <v>12</v>
      </c>
      <c r="H360" s="19">
        <v>12</v>
      </c>
      <c r="I360" s="19">
        <v>856</v>
      </c>
      <c r="J360" s="25">
        <v>0.913551</v>
      </c>
      <c r="K360" s="26">
        <v>888.00412800000004</v>
      </c>
      <c r="L360" s="26">
        <v>1272</v>
      </c>
      <c r="M360" s="26">
        <v>9</v>
      </c>
      <c r="N360" s="26">
        <v>8</v>
      </c>
      <c r="O360" s="27">
        <v>17</v>
      </c>
      <c r="P360" s="19">
        <v>22</v>
      </c>
      <c r="Q360" s="19">
        <v>4</v>
      </c>
      <c r="R360" s="19" t="s">
        <v>431</v>
      </c>
      <c r="S360" s="26">
        <v>0</v>
      </c>
      <c r="T360" s="28" t="s">
        <v>1933</v>
      </c>
      <c r="U360" s="19">
        <v>0</v>
      </c>
      <c r="V360" s="19" t="s">
        <v>431</v>
      </c>
      <c r="X360" t="b">
        <f>VLOOKUP(B360,'M10B Order'!B:F,5,FALSE)=W360</f>
        <v>1</v>
      </c>
    </row>
    <row r="361" spans="1:24" x14ac:dyDescent="0.2">
      <c r="A361" s="19">
        <v>584323904</v>
      </c>
      <c r="B361" s="19" t="s">
        <v>1700</v>
      </c>
      <c r="C361" s="19" t="s">
        <v>1701</v>
      </c>
      <c r="D361" s="19" t="s">
        <v>1687</v>
      </c>
      <c r="E361" s="19" t="s">
        <v>1777</v>
      </c>
      <c r="F361" s="19">
        <v>508804198</v>
      </c>
      <c r="G361" s="19">
        <v>12</v>
      </c>
      <c r="H361" s="19">
        <v>12</v>
      </c>
      <c r="I361" s="19">
        <v>3404</v>
      </c>
      <c r="J361" s="25">
        <v>0.88572300000000004</v>
      </c>
      <c r="K361" s="26">
        <v>4667.9868959999985</v>
      </c>
      <c r="L361" s="26">
        <v>0</v>
      </c>
      <c r="M361" s="26">
        <v>9</v>
      </c>
      <c r="N361" s="26">
        <v>8</v>
      </c>
      <c r="O361" s="27">
        <v>17</v>
      </c>
      <c r="P361" s="19">
        <v>22</v>
      </c>
      <c r="Q361" s="19">
        <v>4</v>
      </c>
      <c r="R361" s="19" t="s">
        <v>431</v>
      </c>
      <c r="S361" s="26">
        <v>0</v>
      </c>
      <c r="T361" s="28">
        <v>28</v>
      </c>
      <c r="U361" s="19">
        <v>0</v>
      </c>
      <c r="V361" s="19" t="s">
        <v>431</v>
      </c>
      <c r="X361" t="b">
        <f>VLOOKUP(B361,'M10B Order'!B:F,5,FALSE)=W361</f>
        <v>1</v>
      </c>
    </row>
    <row r="362" spans="1:24" x14ac:dyDescent="0.2">
      <c r="A362" s="19">
        <v>584323905</v>
      </c>
      <c r="B362" s="19" t="s">
        <v>1708</v>
      </c>
      <c r="C362" s="19" t="s">
        <v>1709</v>
      </c>
      <c r="D362" s="19" t="s">
        <v>1687</v>
      </c>
      <c r="E362" s="19" t="s">
        <v>1777</v>
      </c>
      <c r="F362" s="19">
        <v>508804198</v>
      </c>
      <c r="G362" s="19">
        <v>15</v>
      </c>
      <c r="H362" s="19">
        <v>15</v>
      </c>
      <c r="I362" s="19">
        <v>3404</v>
      </c>
      <c r="J362" s="25">
        <v>0.97326699999999999</v>
      </c>
      <c r="K362" s="26">
        <v>1364.9869800000004</v>
      </c>
      <c r="L362" s="26">
        <v>7455</v>
      </c>
      <c r="M362" s="26">
        <v>9</v>
      </c>
      <c r="N362" s="26">
        <v>8</v>
      </c>
      <c r="O362" s="27">
        <v>17</v>
      </c>
      <c r="P362" s="19">
        <v>22</v>
      </c>
      <c r="Q362" s="19">
        <v>4</v>
      </c>
      <c r="R362" s="19" t="s">
        <v>431</v>
      </c>
      <c r="S362" s="26">
        <v>0</v>
      </c>
      <c r="T362" s="28" t="s">
        <v>1933</v>
      </c>
      <c r="U362" s="19">
        <v>0</v>
      </c>
      <c r="V362" s="19" t="s">
        <v>431</v>
      </c>
      <c r="X362" t="b">
        <f>VLOOKUP(B362,'M10B Order'!B:F,5,FALSE)=W362</f>
        <v>1</v>
      </c>
    </row>
    <row r="363" spans="1:24" x14ac:dyDescent="0.2">
      <c r="A363" s="19">
        <v>579058148</v>
      </c>
      <c r="B363" s="19" t="s">
        <v>1135</v>
      </c>
      <c r="C363" s="19" t="s">
        <v>1136</v>
      </c>
      <c r="D363" s="19" t="s">
        <v>1134</v>
      </c>
      <c r="E363" s="19" t="s">
        <v>1778</v>
      </c>
      <c r="F363" s="19">
        <v>508804191</v>
      </c>
      <c r="G363" s="19">
        <v>8</v>
      </c>
      <c r="H363" s="19">
        <v>8</v>
      </c>
      <c r="I363" s="19">
        <v>457</v>
      </c>
      <c r="J363" s="25">
        <v>0.96936500000000003</v>
      </c>
      <c r="K363" s="26">
        <v>112.00155999999988</v>
      </c>
      <c r="L363" s="26">
        <v>2336</v>
      </c>
      <c r="M363" s="26">
        <v>11</v>
      </c>
      <c r="N363" s="26">
        <v>8</v>
      </c>
      <c r="O363" s="27">
        <v>19</v>
      </c>
      <c r="P363" s="19">
        <v>12</v>
      </c>
      <c r="Q363" s="19">
        <v>1</v>
      </c>
      <c r="R363" s="19" t="s">
        <v>431</v>
      </c>
      <c r="S363" s="26">
        <v>0</v>
      </c>
      <c r="T363" s="28">
        <v>21</v>
      </c>
      <c r="U363" s="19">
        <v>0</v>
      </c>
      <c r="V363" s="19" t="s">
        <v>431</v>
      </c>
      <c r="X363" t="b">
        <f>VLOOKUP(B363,'M10B Order'!B:F,5,FALSE)=W363</f>
        <v>1</v>
      </c>
    </row>
    <row r="364" spans="1:24" x14ac:dyDescent="0.2">
      <c r="A364" s="19">
        <v>579058144</v>
      </c>
      <c r="B364" s="19" t="s">
        <v>1137</v>
      </c>
      <c r="C364" s="19" t="s">
        <v>1138</v>
      </c>
      <c r="D364" s="19" t="s">
        <v>1134</v>
      </c>
      <c r="E364" s="19" t="s">
        <v>1778</v>
      </c>
      <c r="F364" s="19">
        <v>508804191</v>
      </c>
      <c r="G364" s="19">
        <v>8</v>
      </c>
      <c r="H364" s="19">
        <v>8</v>
      </c>
      <c r="I364" s="19">
        <v>457</v>
      </c>
      <c r="J364" s="25">
        <v>0.99562399999999995</v>
      </c>
      <c r="K364" s="26">
        <v>15.998656000000171</v>
      </c>
      <c r="L364" s="26">
        <v>2424</v>
      </c>
      <c r="M364" s="26">
        <v>12</v>
      </c>
      <c r="N364" s="26">
        <v>8</v>
      </c>
      <c r="O364" s="27">
        <v>20</v>
      </c>
      <c r="P364" s="19">
        <v>12</v>
      </c>
      <c r="Q364" s="19">
        <v>1</v>
      </c>
      <c r="R364" s="19" t="s">
        <v>431</v>
      </c>
      <c r="S364" s="26">
        <v>0</v>
      </c>
      <c r="T364" s="28" t="s">
        <v>1933</v>
      </c>
      <c r="U364" s="19">
        <v>0</v>
      </c>
      <c r="V364" s="19" t="s">
        <v>431</v>
      </c>
      <c r="X364" t="b">
        <f>VLOOKUP(B364,'M10B Order'!B:F,5,FALSE)=W364</f>
        <v>1</v>
      </c>
    </row>
    <row r="365" spans="1:24" x14ac:dyDescent="0.2">
      <c r="A365" s="19">
        <v>579058184</v>
      </c>
      <c r="B365" s="19" t="s">
        <v>1139</v>
      </c>
      <c r="C365" s="19" t="s">
        <v>1140</v>
      </c>
      <c r="D365" s="19" t="s">
        <v>1134</v>
      </c>
      <c r="E365" s="19" t="s">
        <v>1778</v>
      </c>
      <c r="F365" s="19">
        <v>508804191</v>
      </c>
      <c r="G365" s="19">
        <v>8</v>
      </c>
      <c r="H365" s="19">
        <v>8</v>
      </c>
      <c r="I365" s="19">
        <v>457</v>
      </c>
      <c r="J365" s="25">
        <v>0.973742</v>
      </c>
      <c r="K365" s="26">
        <v>95.999248000000009</v>
      </c>
      <c r="L365" s="26">
        <v>1016</v>
      </c>
      <c r="M365" s="26">
        <v>12</v>
      </c>
      <c r="N365" s="26">
        <v>8</v>
      </c>
      <c r="O365" s="27">
        <v>20</v>
      </c>
      <c r="P365" s="19">
        <v>12</v>
      </c>
      <c r="Q365" s="19">
        <v>1</v>
      </c>
      <c r="R365" s="19" t="s">
        <v>431</v>
      </c>
      <c r="S365" s="26">
        <v>0</v>
      </c>
      <c r="T365" s="28">
        <v>20</v>
      </c>
      <c r="U365" s="19">
        <v>0</v>
      </c>
      <c r="V365" s="19" t="s">
        <v>431</v>
      </c>
      <c r="X365" t="b">
        <f>VLOOKUP(B365,'M10B Order'!B:F,5,FALSE)=W365</f>
        <v>1</v>
      </c>
    </row>
    <row r="366" spans="1:24" x14ac:dyDescent="0.2">
      <c r="A366" s="19">
        <v>579058135</v>
      </c>
      <c r="B366" s="19" t="s">
        <v>1141</v>
      </c>
      <c r="C366" s="19" t="s">
        <v>1142</v>
      </c>
      <c r="D366" s="19" t="s">
        <v>1134</v>
      </c>
      <c r="E366" s="19" t="s">
        <v>1778</v>
      </c>
      <c r="F366" s="19">
        <v>508804191</v>
      </c>
      <c r="G366" s="19">
        <v>8</v>
      </c>
      <c r="H366" s="19">
        <v>8</v>
      </c>
      <c r="I366" s="19">
        <v>457</v>
      </c>
      <c r="J366" s="25">
        <v>0.99562399999999995</v>
      </c>
      <c r="K366" s="26">
        <v>15.998656000000171</v>
      </c>
      <c r="L366" s="26">
        <v>456</v>
      </c>
      <c r="M366" s="26">
        <v>12</v>
      </c>
      <c r="N366" s="26">
        <v>8</v>
      </c>
      <c r="O366" s="27">
        <v>20</v>
      </c>
      <c r="P366" s="19">
        <v>12</v>
      </c>
      <c r="Q366" s="19">
        <v>1</v>
      </c>
      <c r="R366" s="19" t="s">
        <v>431</v>
      </c>
      <c r="S366" s="26">
        <v>0</v>
      </c>
      <c r="T366" s="28">
        <v>31</v>
      </c>
      <c r="U366" s="19">
        <v>0</v>
      </c>
      <c r="V366" s="19" t="s">
        <v>431</v>
      </c>
      <c r="X366" t="b">
        <f>VLOOKUP(B366,'M10B Order'!B:F,5,FALSE)=W366</f>
        <v>1</v>
      </c>
    </row>
    <row r="367" spans="1:24" x14ac:dyDescent="0.2">
      <c r="A367" s="19">
        <v>579058155</v>
      </c>
      <c r="B367" s="19" t="s">
        <v>1145</v>
      </c>
      <c r="C367" s="19" t="s">
        <v>1146</v>
      </c>
      <c r="D367" s="19" t="s">
        <v>1134</v>
      </c>
      <c r="E367" s="19" t="s">
        <v>1778</v>
      </c>
      <c r="F367" s="19">
        <v>508804191</v>
      </c>
      <c r="G367" s="19">
        <v>8</v>
      </c>
      <c r="H367" s="19">
        <v>8</v>
      </c>
      <c r="I367" s="19">
        <v>458</v>
      </c>
      <c r="J367" s="25">
        <v>0.95633199999999996</v>
      </c>
      <c r="K367" s="26">
        <v>159.99955200000014</v>
      </c>
      <c r="L367" s="26">
        <v>3352</v>
      </c>
      <c r="M367" s="26">
        <v>11</v>
      </c>
      <c r="N367" s="26">
        <v>8</v>
      </c>
      <c r="O367" s="27">
        <v>19</v>
      </c>
      <c r="P367" s="19">
        <v>12</v>
      </c>
      <c r="Q367" s="19">
        <v>1</v>
      </c>
      <c r="R367" s="19" t="s">
        <v>431</v>
      </c>
      <c r="S367" s="26">
        <v>0</v>
      </c>
      <c r="T367" s="28">
        <v>22</v>
      </c>
      <c r="U367" s="19">
        <v>0</v>
      </c>
      <c r="V367" s="19" t="s">
        <v>431</v>
      </c>
      <c r="X367" t="b">
        <f>VLOOKUP(B367,'M10B Order'!B:F,5,FALSE)=W367</f>
        <v>1</v>
      </c>
    </row>
    <row r="368" spans="1:24" x14ac:dyDescent="0.2">
      <c r="A368" s="19">
        <v>573626520</v>
      </c>
      <c r="B368" s="19" t="s">
        <v>842</v>
      </c>
      <c r="C368" s="19" t="s">
        <v>843</v>
      </c>
      <c r="D368" s="19" t="s">
        <v>827</v>
      </c>
      <c r="E368" s="19" t="s">
        <v>1777</v>
      </c>
      <c r="F368" s="19">
        <v>508804192</v>
      </c>
      <c r="G368" s="19">
        <v>4</v>
      </c>
      <c r="H368" s="19">
        <v>24</v>
      </c>
      <c r="I368" s="19">
        <v>3873</v>
      </c>
      <c r="J368" s="25">
        <v>0.975213</v>
      </c>
      <c r="K368" s="26">
        <v>384.00020400000005</v>
      </c>
      <c r="L368" s="26">
        <v>45144</v>
      </c>
      <c r="M368" s="26">
        <v>9</v>
      </c>
      <c r="N368" s="26">
        <v>8</v>
      </c>
      <c r="O368" s="27">
        <v>17</v>
      </c>
      <c r="P368" s="19">
        <v>12</v>
      </c>
      <c r="Q368" s="19">
        <v>4</v>
      </c>
      <c r="R368" s="19" t="s">
        <v>431</v>
      </c>
      <c r="S368" s="26">
        <v>0</v>
      </c>
      <c r="T368" s="28" t="s">
        <v>1933</v>
      </c>
      <c r="U368" s="19">
        <v>0</v>
      </c>
      <c r="V368" s="19" t="s">
        <v>431</v>
      </c>
      <c r="X368" t="b">
        <f>VLOOKUP(B368,'M10B Order'!B:F,5,FALSE)=W368</f>
        <v>1</v>
      </c>
    </row>
    <row r="369" spans="1:24" x14ac:dyDescent="0.2">
      <c r="A369" s="19">
        <v>573626496</v>
      </c>
      <c r="B369" s="19" t="s">
        <v>840</v>
      </c>
      <c r="C369" s="19" t="s">
        <v>841</v>
      </c>
      <c r="D369" s="19" t="s">
        <v>827</v>
      </c>
      <c r="E369" s="19" t="s">
        <v>1777</v>
      </c>
      <c r="F369" s="19">
        <v>508804192</v>
      </c>
      <c r="G369" s="19">
        <v>4</v>
      </c>
      <c r="H369" s="19">
        <v>24</v>
      </c>
      <c r="I369" s="19">
        <v>3873</v>
      </c>
      <c r="J369" s="25">
        <v>0.97779499999999997</v>
      </c>
      <c r="K369" s="26">
        <v>343.99986000000047</v>
      </c>
      <c r="L369" s="26">
        <v>39456</v>
      </c>
      <c r="M369" s="26">
        <v>9</v>
      </c>
      <c r="N369" s="26">
        <v>8</v>
      </c>
      <c r="O369" s="27">
        <v>17</v>
      </c>
      <c r="P369" s="19">
        <v>12</v>
      </c>
      <c r="Q369" s="19">
        <v>4</v>
      </c>
      <c r="R369" s="19" t="s">
        <v>431</v>
      </c>
      <c r="S369" s="26">
        <v>0</v>
      </c>
      <c r="T369" s="28" t="s">
        <v>1933</v>
      </c>
      <c r="U369" s="19">
        <v>0</v>
      </c>
      <c r="V369" s="19" t="s">
        <v>431</v>
      </c>
      <c r="X369" t="b">
        <f>VLOOKUP(B369,'M10B Order'!B:F,5,FALSE)=W369</f>
        <v>1</v>
      </c>
    </row>
    <row r="370" spans="1:24" x14ac:dyDescent="0.2">
      <c r="A370" s="19">
        <v>573626547</v>
      </c>
      <c r="B370" s="19" t="s">
        <v>838</v>
      </c>
      <c r="C370" s="19" t="s">
        <v>839</v>
      </c>
      <c r="D370" s="19" t="s">
        <v>827</v>
      </c>
      <c r="E370" s="19" t="s">
        <v>1777</v>
      </c>
      <c r="F370" s="19">
        <v>508804192</v>
      </c>
      <c r="G370" s="19">
        <v>4</v>
      </c>
      <c r="H370" s="19">
        <v>24</v>
      </c>
      <c r="I370" s="19">
        <v>3873</v>
      </c>
      <c r="J370" s="25">
        <v>0.97960199999999997</v>
      </c>
      <c r="K370" s="26">
        <v>316.00581600000044</v>
      </c>
      <c r="L370" s="26">
        <v>64368</v>
      </c>
      <c r="M370" s="26">
        <v>9</v>
      </c>
      <c r="N370" s="26">
        <v>8</v>
      </c>
      <c r="O370" s="27">
        <v>17</v>
      </c>
      <c r="P370" s="19">
        <v>12</v>
      </c>
      <c r="Q370" s="19">
        <v>4</v>
      </c>
      <c r="R370" s="19" t="s">
        <v>431</v>
      </c>
      <c r="S370" s="26">
        <v>0</v>
      </c>
      <c r="T370" s="28" t="s">
        <v>1933</v>
      </c>
      <c r="U370" s="19">
        <v>0</v>
      </c>
      <c r="V370" s="19" t="s">
        <v>431</v>
      </c>
      <c r="X370" t="b">
        <f>VLOOKUP(B370,'M10B Order'!B:F,5,FALSE)=W370</f>
        <v>1</v>
      </c>
    </row>
    <row r="371" spans="1:24" x14ac:dyDescent="0.2">
      <c r="A371" s="19">
        <v>573626551</v>
      </c>
      <c r="B371" s="19" t="s">
        <v>836</v>
      </c>
      <c r="C371" s="19" t="s">
        <v>837</v>
      </c>
      <c r="D371" s="19" t="s">
        <v>827</v>
      </c>
      <c r="E371" s="19" t="s">
        <v>1777</v>
      </c>
      <c r="F371" s="19">
        <v>508804192</v>
      </c>
      <c r="G371" s="19">
        <v>4</v>
      </c>
      <c r="H371" s="19">
        <v>24</v>
      </c>
      <c r="I371" s="19">
        <v>1314</v>
      </c>
      <c r="J371" s="25">
        <v>0.97945199999999999</v>
      </c>
      <c r="K371" s="26">
        <v>108.00028800000005</v>
      </c>
      <c r="L371" s="26">
        <v>28008</v>
      </c>
      <c r="M371" s="26">
        <v>9</v>
      </c>
      <c r="N371" s="26">
        <v>8</v>
      </c>
      <c r="O371" s="27">
        <v>17</v>
      </c>
      <c r="P371" s="19">
        <v>12</v>
      </c>
      <c r="Q371" s="19">
        <v>4</v>
      </c>
      <c r="R371" s="19" t="s">
        <v>431</v>
      </c>
      <c r="S371" s="26">
        <v>0</v>
      </c>
      <c r="T371" s="28" t="s">
        <v>1933</v>
      </c>
      <c r="U371" s="19">
        <v>0</v>
      </c>
      <c r="V371" s="19" t="s">
        <v>431</v>
      </c>
      <c r="X371" t="b">
        <f>VLOOKUP(B371,'M10B Order'!B:F,5,FALSE)=W371</f>
        <v>1</v>
      </c>
    </row>
    <row r="372" spans="1:24" x14ac:dyDescent="0.2">
      <c r="A372" s="19">
        <v>573626498</v>
      </c>
      <c r="B372" s="19" t="s">
        <v>832</v>
      </c>
      <c r="C372" s="19" t="s">
        <v>833</v>
      </c>
      <c r="D372" s="19" t="s">
        <v>827</v>
      </c>
      <c r="E372" s="19" t="s">
        <v>1777</v>
      </c>
      <c r="F372" s="19">
        <v>508804192</v>
      </c>
      <c r="G372" s="19">
        <v>4</v>
      </c>
      <c r="H372" s="19">
        <v>24</v>
      </c>
      <c r="I372" s="19">
        <v>3873</v>
      </c>
      <c r="J372" s="25">
        <v>0.97986099999999998</v>
      </c>
      <c r="K372" s="26">
        <v>311.99338800000027</v>
      </c>
      <c r="L372" s="26">
        <v>82944</v>
      </c>
      <c r="M372" s="26">
        <v>9</v>
      </c>
      <c r="N372" s="26">
        <v>8</v>
      </c>
      <c r="O372" s="27">
        <v>17</v>
      </c>
      <c r="P372" s="19">
        <v>12</v>
      </c>
      <c r="Q372" s="19">
        <v>4</v>
      </c>
      <c r="R372" s="19" t="s">
        <v>431</v>
      </c>
      <c r="S372" s="26">
        <v>0</v>
      </c>
      <c r="T372" s="28" t="s">
        <v>1933</v>
      </c>
      <c r="U372" s="19">
        <v>0</v>
      </c>
      <c r="V372" s="19" t="s">
        <v>431</v>
      </c>
      <c r="X372" t="b">
        <f>VLOOKUP(B372,'M10B Order'!B:F,5,FALSE)=W372</f>
        <v>1</v>
      </c>
    </row>
    <row r="373" spans="1:24" x14ac:dyDescent="0.2">
      <c r="A373" s="19">
        <v>573626522</v>
      </c>
      <c r="B373" s="19" t="s">
        <v>830</v>
      </c>
      <c r="C373" s="19" t="s">
        <v>831</v>
      </c>
      <c r="D373" s="19" t="s">
        <v>827</v>
      </c>
      <c r="E373" s="19" t="s">
        <v>1777</v>
      </c>
      <c r="F373" s="19">
        <v>508804192</v>
      </c>
      <c r="G373" s="19">
        <v>4</v>
      </c>
      <c r="H373" s="19">
        <v>24</v>
      </c>
      <c r="I373" s="19">
        <v>1313</v>
      </c>
      <c r="J373" s="25">
        <v>0.98172099999999995</v>
      </c>
      <c r="K373" s="26">
        <v>96.001308000000236</v>
      </c>
      <c r="L373" s="26">
        <v>27600</v>
      </c>
      <c r="M373" s="26">
        <v>9</v>
      </c>
      <c r="N373" s="26">
        <v>8</v>
      </c>
      <c r="O373" s="27">
        <v>17</v>
      </c>
      <c r="P373" s="19">
        <v>12</v>
      </c>
      <c r="Q373" s="19">
        <v>4</v>
      </c>
      <c r="R373" s="19" t="s">
        <v>431</v>
      </c>
      <c r="S373" s="26">
        <v>0</v>
      </c>
      <c r="T373" s="28" t="s">
        <v>1933</v>
      </c>
      <c r="U373" s="19">
        <v>0</v>
      </c>
      <c r="V373" s="19" t="s">
        <v>431</v>
      </c>
      <c r="X373" t="b">
        <f>VLOOKUP(B373,'M10B Order'!B:F,5,FALSE)=W373</f>
        <v>1</v>
      </c>
    </row>
    <row r="374" spans="1:24" x14ac:dyDescent="0.2">
      <c r="A374" s="19">
        <v>573626597</v>
      </c>
      <c r="B374" s="19" t="s">
        <v>828</v>
      </c>
      <c r="C374" s="19" t="s">
        <v>829</v>
      </c>
      <c r="D374" s="19" t="s">
        <v>827</v>
      </c>
      <c r="E374" s="19" t="s">
        <v>1777</v>
      </c>
      <c r="F374" s="19">
        <v>508804192</v>
      </c>
      <c r="G374" s="19">
        <v>4</v>
      </c>
      <c r="H374" s="19">
        <v>24</v>
      </c>
      <c r="I374" s="19">
        <v>3873</v>
      </c>
      <c r="J374" s="25">
        <v>0.97934399999999999</v>
      </c>
      <c r="K374" s="26">
        <v>320.0027520000001</v>
      </c>
      <c r="L374" s="26">
        <v>29976</v>
      </c>
      <c r="M374" s="26">
        <v>9</v>
      </c>
      <c r="N374" s="26">
        <v>8</v>
      </c>
      <c r="O374" s="27">
        <v>17</v>
      </c>
      <c r="P374" s="19">
        <v>12</v>
      </c>
      <c r="Q374" s="19">
        <v>4</v>
      </c>
      <c r="R374" s="19" t="s">
        <v>431</v>
      </c>
      <c r="S374" s="26">
        <v>0</v>
      </c>
      <c r="T374" s="28" t="s">
        <v>1933</v>
      </c>
      <c r="U374" s="19">
        <v>0</v>
      </c>
      <c r="V374" s="19" t="s">
        <v>431</v>
      </c>
      <c r="X374" t="b">
        <f>VLOOKUP(B374,'M10B Order'!B:F,5,FALSE)=W374</f>
        <v>1</v>
      </c>
    </row>
    <row r="375" spans="1:24" x14ac:dyDescent="0.2">
      <c r="A375" s="19">
        <v>587516728</v>
      </c>
      <c r="B375" s="19" t="s">
        <v>1823</v>
      </c>
      <c r="C375" s="19" t="s">
        <v>1824</v>
      </c>
      <c r="D375" s="19" t="s">
        <v>1825</v>
      </c>
      <c r="E375" s="19" t="s">
        <v>1777</v>
      </c>
      <c r="F375" s="19">
        <v>508804192</v>
      </c>
      <c r="G375" s="19">
        <v>4</v>
      </c>
      <c r="H375" s="19">
        <v>24</v>
      </c>
      <c r="I375" s="19">
        <v>1328</v>
      </c>
      <c r="J375" s="25">
        <v>0.95180699999999996</v>
      </c>
      <c r="K375" s="26">
        <v>256.00121600000023</v>
      </c>
      <c r="L375" s="26">
        <v>1944</v>
      </c>
      <c r="M375" s="26">
        <v>9</v>
      </c>
      <c r="N375" s="26">
        <v>8</v>
      </c>
      <c r="O375" s="27">
        <v>17</v>
      </c>
      <c r="P375" s="19">
        <v>12</v>
      </c>
      <c r="Q375" s="19">
        <v>4</v>
      </c>
      <c r="R375" s="19" t="s">
        <v>431</v>
      </c>
      <c r="S375" s="26">
        <v>0</v>
      </c>
      <c r="T375" s="28">
        <v>21</v>
      </c>
      <c r="U375" s="19">
        <v>0</v>
      </c>
      <c r="V375" s="19" t="s">
        <v>431</v>
      </c>
      <c r="X375" t="b">
        <f>VLOOKUP(B375,'M10B Order'!B:F,5,FALSE)=W375</f>
        <v>1</v>
      </c>
    </row>
    <row r="376" spans="1:24" x14ac:dyDescent="0.2">
      <c r="A376" s="19">
        <v>554738314</v>
      </c>
      <c r="B376" s="19" t="s">
        <v>71</v>
      </c>
      <c r="C376" s="19" t="s">
        <v>70</v>
      </c>
      <c r="D376" s="19" t="s">
        <v>368</v>
      </c>
      <c r="E376" s="19" t="s">
        <v>1778</v>
      </c>
      <c r="F376" s="19">
        <v>508804192</v>
      </c>
      <c r="G376" s="19">
        <v>4</v>
      </c>
      <c r="H376" s="19">
        <v>24</v>
      </c>
      <c r="I376" s="19">
        <v>3887</v>
      </c>
      <c r="J376" s="25">
        <v>0.96423999999999999</v>
      </c>
      <c r="K376" s="26">
        <v>555.99648000000025</v>
      </c>
      <c r="L376" s="26">
        <v>59496</v>
      </c>
      <c r="M376" s="26">
        <v>9</v>
      </c>
      <c r="N376" s="26">
        <v>8</v>
      </c>
      <c r="O376" s="27">
        <v>17</v>
      </c>
      <c r="P376" s="19">
        <v>12</v>
      </c>
      <c r="Q376" s="19">
        <v>1</v>
      </c>
      <c r="R376" s="19" t="s">
        <v>431</v>
      </c>
      <c r="S376" s="26">
        <v>0</v>
      </c>
      <c r="T376" s="28" t="s">
        <v>1933</v>
      </c>
      <c r="U376" s="19" t="s">
        <v>1039</v>
      </c>
      <c r="V376" s="19" t="s">
        <v>431</v>
      </c>
      <c r="X376" t="b">
        <f>VLOOKUP(B376,'M10B Order'!B:F,5,FALSE)=W376</f>
        <v>1</v>
      </c>
    </row>
    <row r="377" spans="1:24" x14ac:dyDescent="0.2">
      <c r="A377" s="19">
        <v>554738291</v>
      </c>
      <c r="B377" s="19" t="s">
        <v>155</v>
      </c>
      <c r="C377" s="19" t="s">
        <v>154</v>
      </c>
      <c r="D377" s="19" t="s">
        <v>368</v>
      </c>
      <c r="E377" s="19" t="s">
        <v>1778</v>
      </c>
      <c r="F377" s="19">
        <v>508804192</v>
      </c>
      <c r="G377" s="19">
        <v>4</v>
      </c>
      <c r="H377" s="19">
        <v>24</v>
      </c>
      <c r="I377" s="19">
        <v>3887</v>
      </c>
      <c r="J377" s="25">
        <v>0.96526900000000004</v>
      </c>
      <c r="K377" s="26">
        <v>539.99758799999927</v>
      </c>
      <c r="L377" s="26">
        <v>65112</v>
      </c>
      <c r="M377" s="26">
        <v>9</v>
      </c>
      <c r="N377" s="26">
        <v>8</v>
      </c>
      <c r="O377" s="27">
        <v>17</v>
      </c>
      <c r="P377" s="19">
        <v>12</v>
      </c>
      <c r="Q377" s="19">
        <v>1</v>
      </c>
      <c r="R377" s="19" t="s">
        <v>431</v>
      </c>
      <c r="S377" s="26">
        <v>0</v>
      </c>
      <c r="T377" s="28" t="s">
        <v>1933</v>
      </c>
      <c r="U377" s="19" t="s">
        <v>1039</v>
      </c>
      <c r="V377" s="19" t="s">
        <v>431</v>
      </c>
      <c r="X377" t="b">
        <f>VLOOKUP(B377,'M10B Order'!B:F,5,FALSE)=W377</f>
        <v>1</v>
      </c>
    </row>
    <row r="378" spans="1:24" x14ac:dyDescent="0.2">
      <c r="A378" s="19">
        <v>554738262</v>
      </c>
      <c r="B378" s="19" t="s">
        <v>184</v>
      </c>
      <c r="C378" s="19" t="s">
        <v>183</v>
      </c>
      <c r="D378" s="19" t="s">
        <v>368</v>
      </c>
      <c r="E378" s="19" t="s">
        <v>1778</v>
      </c>
      <c r="F378" s="19">
        <v>508804192</v>
      </c>
      <c r="G378" s="19">
        <v>4</v>
      </c>
      <c r="H378" s="19">
        <v>24</v>
      </c>
      <c r="I378" s="19">
        <v>3887</v>
      </c>
      <c r="J378" s="25">
        <v>0.96835599999999999</v>
      </c>
      <c r="K378" s="26">
        <v>492.00091200000008</v>
      </c>
      <c r="L378" s="26">
        <v>62592</v>
      </c>
      <c r="M378" s="26">
        <v>9</v>
      </c>
      <c r="N378" s="26">
        <v>8</v>
      </c>
      <c r="O378" s="27">
        <v>17</v>
      </c>
      <c r="P378" s="19">
        <v>12</v>
      </c>
      <c r="Q378" s="19">
        <v>1</v>
      </c>
      <c r="R378" s="19" t="s">
        <v>431</v>
      </c>
      <c r="S378" s="26">
        <v>0</v>
      </c>
      <c r="T378" s="28" t="s">
        <v>1933</v>
      </c>
      <c r="U378" s="19" t="s">
        <v>1039</v>
      </c>
      <c r="V378" s="19" t="s">
        <v>431</v>
      </c>
      <c r="X378" t="b">
        <f>VLOOKUP(B378,'M10B Order'!B:F,5,FALSE)=W378</f>
        <v>1</v>
      </c>
    </row>
    <row r="379" spans="1:24" x14ac:dyDescent="0.2">
      <c r="A379" s="19">
        <v>554736954</v>
      </c>
      <c r="B379" s="19" t="s">
        <v>358</v>
      </c>
      <c r="C379" s="19" t="s">
        <v>357</v>
      </c>
      <c r="D379" s="19" t="s">
        <v>368</v>
      </c>
      <c r="E379" s="19" t="s">
        <v>1778</v>
      </c>
      <c r="F379" s="19">
        <v>508804192</v>
      </c>
      <c r="G379" s="19">
        <v>4</v>
      </c>
      <c r="H379" s="19">
        <v>24</v>
      </c>
      <c r="I379" s="19">
        <v>1277</v>
      </c>
      <c r="J379" s="25">
        <v>0.92169100000000004</v>
      </c>
      <c r="K379" s="26">
        <v>400.00237199999981</v>
      </c>
      <c r="L379" s="26">
        <v>32544</v>
      </c>
      <c r="M379" s="26">
        <v>9</v>
      </c>
      <c r="N379" s="26">
        <v>8</v>
      </c>
      <c r="O379" s="27">
        <v>17</v>
      </c>
      <c r="P379" s="19">
        <v>12</v>
      </c>
      <c r="Q379" s="19">
        <v>1</v>
      </c>
      <c r="R379" s="19" t="s">
        <v>431</v>
      </c>
      <c r="S379" s="26">
        <v>0</v>
      </c>
      <c r="T379" s="28" t="s">
        <v>1933</v>
      </c>
      <c r="U379" s="19" t="s">
        <v>1039</v>
      </c>
      <c r="V379" s="19" t="s">
        <v>431</v>
      </c>
      <c r="X379" t="b">
        <f>VLOOKUP(B379,'M10B Order'!B:F,5,FALSE)=W379</f>
        <v>1</v>
      </c>
    </row>
    <row r="380" spans="1:24" x14ac:dyDescent="0.2">
      <c r="A380" s="19">
        <v>554738259</v>
      </c>
      <c r="B380" s="19" t="s">
        <v>214</v>
      </c>
      <c r="C380" s="19" t="s">
        <v>213</v>
      </c>
      <c r="D380" s="19" t="s">
        <v>368</v>
      </c>
      <c r="E380" s="19" t="s">
        <v>1778</v>
      </c>
      <c r="F380" s="19">
        <v>508804192</v>
      </c>
      <c r="G380" s="19">
        <v>4</v>
      </c>
      <c r="H380" s="19">
        <v>24</v>
      </c>
      <c r="I380" s="19">
        <v>3885</v>
      </c>
      <c r="J380" s="25">
        <v>0.96396400000000004</v>
      </c>
      <c r="K380" s="26">
        <v>559.99943999999937</v>
      </c>
      <c r="L380" s="26">
        <v>51360</v>
      </c>
      <c r="M380" s="26">
        <v>9</v>
      </c>
      <c r="N380" s="26">
        <v>8</v>
      </c>
      <c r="O380" s="27">
        <v>17</v>
      </c>
      <c r="P380" s="19">
        <v>12</v>
      </c>
      <c r="Q380" s="19">
        <v>1</v>
      </c>
      <c r="R380" s="19" t="s">
        <v>431</v>
      </c>
      <c r="S380" s="26">
        <v>0</v>
      </c>
      <c r="T380" s="28" t="s">
        <v>1933</v>
      </c>
      <c r="U380" s="19" t="s">
        <v>1039</v>
      </c>
      <c r="V380" s="19" t="s">
        <v>431</v>
      </c>
      <c r="X380" t="b">
        <f>VLOOKUP(B380,'M10B Order'!B:F,5,FALSE)=W380</f>
        <v>1</v>
      </c>
    </row>
    <row r="381" spans="1:24" x14ac:dyDescent="0.2">
      <c r="A381" s="19">
        <v>554738247</v>
      </c>
      <c r="B381" s="19" t="s">
        <v>119</v>
      </c>
      <c r="C381" s="19" t="s">
        <v>118</v>
      </c>
      <c r="D381" s="19" t="s">
        <v>368</v>
      </c>
      <c r="E381" s="19" t="s">
        <v>1778</v>
      </c>
      <c r="F381" s="19">
        <v>508804192</v>
      </c>
      <c r="G381" s="19">
        <v>4</v>
      </c>
      <c r="H381" s="19">
        <v>24</v>
      </c>
      <c r="I381" s="19">
        <v>3887</v>
      </c>
      <c r="J381" s="25">
        <v>0.95780799999999999</v>
      </c>
      <c r="K381" s="26">
        <v>656.00121600000011</v>
      </c>
      <c r="L381" s="26">
        <v>40656</v>
      </c>
      <c r="M381" s="26">
        <v>9</v>
      </c>
      <c r="N381" s="26">
        <v>8</v>
      </c>
      <c r="O381" s="27">
        <v>17</v>
      </c>
      <c r="P381" s="19">
        <v>12</v>
      </c>
      <c r="Q381" s="19">
        <v>1</v>
      </c>
      <c r="R381" s="19" t="s">
        <v>431</v>
      </c>
      <c r="S381" s="26">
        <v>0</v>
      </c>
      <c r="T381" s="28">
        <v>27</v>
      </c>
      <c r="U381" s="19" t="s">
        <v>1039</v>
      </c>
      <c r="V381" s="19" t="s">
        <v>431</v>
      </c>
      <c r="X381" t="b">
        <f>VLOOKUP(B381,'M10B Order'!B:F,5,FALSE)=W381</f>
        <v>1</v>
      </c>
    </row>
    <row r="382" spans="1:24" x14ac:dyDescent="0.2">
      <c r="A382" s="19">
        <v>554726984</v>
      </c>
      <c r="B382" s="19" t="s">
        <v>245</v>
      </c>
      <c r="C382" s="19" t="s">
        <v>244</v>
      </c>
      <c r="D382" s="19" t="s">
        <v>368</v>
      </c>
      <c r="E382" s="19" t="s">
        <v>1778</v>
      </c>
      <c r="F382" s="19">
        <v>508804192</v>
      </c>
      <c r="G382" s="19">
        <v>4</v>
      </c>
      <c r="H382" s="19">
        <v>24</v>
      </c>
      <c r="I382" s="19">
        <v>3887</v>
      </c>
      <c r="J382" s="25">
        <v>0.96038100000000004</v>
      </c>
      <c r="K382" s="26">
        <v>615.99621199999933</v>
      </c>
      <c r="L382" s="26">
        <v>73920</v>
      </c>
      <c r="M382" s="26">
        <v>9</v>
      </c>
      <c r="N382" s="26">
        <v>8</v>
      </c>
      <c r="O382" s="27">
        <v>17</v>
      </c>
      <c r="P382" s="19">
        <v>12</v>
      </c>
      <c r="Q382" s="19">
        <v>1</v>
      </c>
      <c r="R382" s="19" t="s">
        <v>431</v>
      </c>
      <c r="S382" s="26">
        <v>0</v>
      </c>
      <c r="T382" s="28" t="s">
        <v>1933</v>
      </c>
      <c r="U382" s="19" t="s">
        <v>1039</v>
      </c>
      <c r="V382" s="19" t="s">
        <v>431</v>
      </c>
      <c r="X382" t="b">
        <f>VLOOKUP(B382,'M10B Order'!B:F,5,FALSE)=W382</f>
        <v>1</v>
      </c>
    </row>
    <row r="383" spans="1:24" x14ac:dyDescent="0.2">
      <c r="A383" s="19">
        <v>554040304</v>
      </c>
      <c r="B383" s="19" t="s">
        <v>224</v>
      </c>
      <c r="C383" s="19" t="s">
        <v>223</v>
      </c>
      <c r="D383" s="19" t="s">
        <v>368</v>
      </c>
      <c r="E383" s="19" t="s">
        <v>1778</v>
      </c>
      <c r="F383" s="19">
        <v>508804192</v>
      </c>
      <c r="G383" s="19">
        <v>4</v>
      </c>
      <c r="H383" s="19">
        <v>24</v>
      </c>
      <c r="I383" s="19">
        <v>1276</v>
      </c>
      <c r="J383" s="25">
        <v>0.95219399999999998</v>
      </c>
      <c r="K383" s="26">
        <v>244.00182400000008</v>
      </c>
      <c r="L383" s="26">
        <v>27480</v>
      </c>
      <c r="M383" s="26">
        <v>9</v>
      </c>
      <c r="N383" s="26">
        <v>8</v>
      </c>
      <c r="O383" s="27">
        <v>17</v>
      </c>
      <c r="P383" s="19">
        <v>12</v>
      </c>
      <c r="Q383" s="19">
        <v>1</v>
      </c>
      <c r="R383" s="19" t="s">
        <v>431</v>
      </c>
      <c r="S383" s="26">
        <v>0</v>
      </c>
      <c r="T383" s="28" t="s">
        <v>1933</v>
      </c>
      <c r="U383" s="19" t="s">
        <v>1039</v>
      </c>
      <c r="V383" s="19" t="s">
        <v>431</v>
      </c>
      <c r="X383" t="b">
        <f>VLOOKUP(B383,'M10B Order'!B:F,5,FALSE)=W383</f>
        <v>1</v>
      </c>
    </row>
    <row r="384" spans="1:24" x14ac:dyDescent="0.2">
      <c r="A384" s="19">
        <v>554726983</v>
      </c>
      <c r="B384" s="19" t="s">
        <v>231</v>
      </c>
      <c r="C384" s="19" t="s">
        <v>230</v>
      </c>
      <c r="D384" s="19" t="s">
        <v>368</v>
      </c>
      <c r="E384" s="19" t="s">
        <v>1778</v>
      </c>
      <c r="F384" s="19">
        <v>508804192</v>
      </c>
      <c r="G384" s="19">
        <v>4</v>
      </c>
      <c r="H384" s="19">
        <v>24</v>
      </c>
      <c r="I384" s="19">
        <v>1276</v>
      </c>
      <c r="J384" s="25">
        <v>0.93103400000000003</v>
      </c>
      <c r="K384" s="26">
        <v>352.00246399999986</v>
      </c>
      <c r="L384" s="26">
        <v>10248</v>
      </c>
      <c r="M384" s="26">
        <v>9</v>
      </c>
      <c r="N384" s="26">
        <v>8</v>
      </c>
      <c r="O384" s="27">
        <v>17</v>
      </c>
      <c r="P384" s="19">
        <v>12</v>
      </c>
      <c r="Q384" s="19">
        <v>1</v>
      </c>
      <c r="R384" s="19" t="s">
        <v>431</v>
      </c>
      <c r="S384" s="26">
        <v>0</v>
      </c>
      <c r="T384" s="28" t="s">
        <v>1933</v>
      </c>
      <c r="U384" s="19" t="s">
        <v>1039</v>
      </c>
      <c r="V384" s="19" t="s">
        <v>431</v>
      </c>
      <c r="X384" t="b">
        <f>VLOOKUP(B384,'M10B Order'!B:F,5,FALSE)=W384</f>
        <v>1</v>
      </c>
    </row>
    <row r="385" spans="1:24" x14ac:dyDescent="0.2">
      <c r="A385" s="19">
        <v>554726966</v>
      </c>
      <c r="B385" s="19" t="s">
        <v>35</v>
      </c>
      <c r="C385" s="19" t="s">
        <v>34</v>
      </c>
      <c r="D385" s="19" t="s">
        <v>368</v>
      </c>
      <c r="E385" s="19" t="s">
        <v>1778</v>
      </c>
      <c r="F385" s="19">
        <v>508804192</v>
      </c>
      <c r="G385" s="19">
        <v>4</v>
      </c>
      <c r="H385" s="19">
        <v>24</v>
      </c>
      <c r="I385" s="19">
        <v>3887</v>
      </c>
      <c r="J385" s="25">
        <v>0.95060500000000003</v>
      </c>
      <c r="K385" s="26">
        <v>767.99345999999946</v>
      </c>
      <c r="L385" s="26">
        <v>39216</v>
      </c>
      <c r="M385" s="26">
        <v>9</v>
      </c>
      <c r="N385" s="26">
        <v>8</v>
      </c>
      <c r="O385" s="27">
        <v>17</v>
      </c>
      <c r="P385" s="19">
        <v>12</v>
      </c>
      <c r="Q385" s="19">
        <v>1</v>
      </c>
      <c r="R385" s="19" t="s">
        <v>431</v>
      </c>
      <c r="S385" s="26">
        <v>0</v>
      </c>
      <c r="T385" s="28">
        <v>29</v>
      </c>
      <c r="U385" s="19" t="s">
        <v>1039</v>
      </c>
      <c r="V385" s="19" t="s">
        <v>431</v>
      </c>
      <c r="X385" t="b">
        <f>VLOOKUP(B385,'M10B Order'!B:F,5,FALSE)=W385</f>
        <v>1</v>
      </c>
    </row>
    <row r="386" spans="1:24" x14ac:dyDescent="0.2">
      <c r="A386" s="19">
        <v>554726936</v>
      </c>
      <c r="B386" s="19" t="s">
        <v>57</v>
      </c>
      <c r="C386" s="19" t="s">
        <v>56</v>
      </c>
      <c r="D386" s="19" t="s">
        <v>368</v>
      </c>
      <c r="E386" s="19" t="s">
        <v>1778</v>
      </c>
      <c r="F386" s="19">
        <v>508804192</v>
      </c>
      <c r="G386" s="19">
        <v>4</v>
      </c>
      <c r="H386" s="19">
        <v>24</v>
      </c>
      <c r="I386" s="19">
        <v>3886</v>
      </c>
      <c r="J386" s="25">
        <v>0.96037099999999997</v>
      </c>
      <c r="K386" s="26">
        <v>615.9931760000004</v>
      </c>
      <c r="L386" s="26">
        <v>43728</v>
      </c>
      <c r="M386" s="26">
        <v>9</v>
      </c>
      <c r="N386" s="26">
        <v>8</v>
      </c>
      <c r="O386" s="27">
        <v>17</v>
      </c>
      <c r="P386" s="19">
        <v>12</v>
      </c>
      <c r="Q386" s="19">
        <v>1</v>
      </c>
      <c r="R386" s="19" t="s">
        <v>431</v>
      </c>
      <c r="S386" s="26">
        <v>0</v>
      </c>
      <c r="T386" s="28">
        <v>22</v>
      </c>
      <c r="U386" s="19" t="s">
        <v>1039</v>
      </c>
      <c r="V386" s="19" t="s">
        <v>431</v>
      </c>
      <c r="X386" t="b">
        <f>VLOOKUP(B386,'M10B Order'!B:F,5,FALSE)=W386</f>
        <v>1</v>
      </c>
    </row>
    <row r="387" spans="1:24" x14ac:dyDescent="0.2">
      <c r="A387" s="19">
        <v>554726919</v>
      </c>
      <c r="B387" s="19" t="s">
        <v>29</v>
      </c>
      <c r="C387" s="19" t="s">
        <v>28</v>
      </c>
      <c r="D387" s="19" t="s">
        <v>368</v>
      </c>
      <c r="E387" s="19" t="s">
        <v>1778</v>
      </c>
      <c r="F387" s="19">
        <v>508804192</v>
      </c>
      <c r="G387" s="19">
        <v>4</v>
      </c>
      <c r="H387" s="19">
        <v>24</v>
      </c>
      <c r="I387" s="19">
        <v>3887</v>
      </c>
      <c r="J387" s="25">
        <v>0.97736000000000001</v>
      </c>
      <c r="K387" s="26">
        <v>352.00671999999992</v>
      </c>
      <c r="L387" s="26">
        <v>45648</v>
      </c>
      <c r="M387" s="26">
        <v>9</v>
      </c>
      <c r="N387" s="26">
        <v>8</v>
      </c>
      <c r="O387" s="27">
        <v>17</v>
      </c>
      <c r="P387" s="19">
        <v>12</v>
      </c>
      <c r="Q387" s="19">
        <v>1</v>
      </c>
      <c r="R387" s="19" t="s">
        <v>431</v>
      </c>
      <c r="S387" s="26">
        <v>0</v>
      </c>
      <c r="T387" s="28">
        <v>22</v>
      </c>
      <c r="U387" s="19" t="s">
        <v>1039</v>
      </c>
      <c r="V387" s="19" t="s">
        <v>431</v>
      </c>
      <c r="X387" t="b">
        <f>VLOOKUP(B387,'M10B Order'!B:F,5,FALSE)=W387</f>
        <v>1</v>
      </c>
    </row>
    <row r="388" spans="1:24" x14ac:dyDescent="0.2">
      <c r="A388" s="19">
        <v>554726883</v>
      </c>
      <c r="B388" s="19" t="s">
        <v>157</v>
      </c>
      <c r="C388" s="19" t="s">
        <v>156</v>
      </c>
      <c r="D388" s="19" t="s">
        <v>368</v>
      </c>
      <c r="E388" s="19" t="s">
        <v>1778</v>
      </c>
      <c r="F388" s="19">
        <v>508804192</v>
      </c>
      <c r="G388" s="19">
        <v>4</v>
      </c>
      <c r="H388" s="19">
        <v>24</v>
      </c>
      <c r="I388" s="19">
        <v>3887</v>
      </c>
      <c r="J388" s="25">
        <v>0.95857999999999999</v>
      </c>
      <c r="K388" s="26">
        <v>643.99816000000021</v>
      </c>
      <c r="L388" s="26">
        <v>78888</v>
      </c>
      <c r="M388" s="26">
        <v>9</v>
      </c>
      <c r="N388" s="26">
        <v>8</v>
      </c>
      <c r="O388" s="27">
        <v>17</v>
      </c>
      <c r="P388" s="19">
        <v>12</v>
      </c>
      <c r="Q388" s="19">
        <v>1</v>
      </c>
      <c r="R388" s="19" t="s">
        <v>431</v>
      </c>
      <c r="S388" s="26">
        <v>0</v>
      </c>
      <c r="T388" s="28" t="s">
        <v>1933</v>
      </c>
      <c r="U388" s="19" t="s">
        <v>1039</v>
      </c>
      <c r="V388" s="19" t="s">
        <v>431</v>
      </c>
      <c r="X388" t="b">
        <f>VLOOKUP(B388,'M10B Order'!B:F,5,FALSE)=W388</f>
        <v>1</v>
      </c>
    </row>
    <row r="389" spans="1:24" x14ac:dyDescent="0.2">
      <c r="A389" s="19">
        <v>554726641</v>
      </c>
      <c r="B389" s="19" t="s">
        <v>247</v>
      </c>
      <c r="C389" s="19" t="s">
        <v>246</v>
      </c>
      <c r="D389" s="19" t="s">
        <v>368</v>
      </c>
      <c r="E389" s="19" t="s">
        <v>1778</v>
      </c>
      <c r="F389" s="19">
        <v>508804192</v>
      </c>
      <c r="G389" s="19">
        <v>4</v>
      </c>
      <c r="H389" s="19">
        <v>24</v>
      </c>
      <c r="I389" s="19">
        <v>1276</v>
      </c>
      <c r="J389" s="25">
        <v>0.93887100000000001</v>
      </c>
      <c r="K389" s="26">
        <v>312.00241599999993</v>
      </c>
      <c r="L389" s="26">
        <v>15528</v>
      </c>
      <c r="M389" s="26">
        <v>9</v>
      </c>
      <c r="N389" s="26">
        <v>8</v>
      </c>
      <c r="O389" s="27">
        <v>17</v>
      </c>
      <c r="P389" s="19">
        <v>12</v>
      </c>
      <c r="Q389" s="19">
        <v>1</v>
      </c>
      <c r="R389" s="19" t="s">
        <v>431</v>
      </c>
      <c r="S389" s="26">
        <v>0</v>
      </c>
      <c r="T389" s="28" t="s">
        <v>1933</v>
      </c>
      <c r="U389" s="19" t="s">
        <v>1039</v>
      </c>
      <c r="V389" s="19" t="s">
        <v>431</v>
      </c>
      <c r="X389" t="b">
        <f>VLOOKUP(B389,'M10B Order'!B:F,5,FALSE)=W389</f>
        <v>1</v>
      </c>
    </row>
    <row r="390" spans="1:24" x14ac:dyDescent="0.2">
      <c r="A390" s="19">
        <v>554726560</v>
      </c>
      <c r="B390" s="19" t="s">
        <v>115</v>
      </c>
      <c r="C390" s="19" t="s">
        <v>114</v>
      </c>
      <c r="D390" s="19" t="s">
        <v>368</v>
      </c>
      <c r="E390" s="19" t="s">
        <v>1778</v>
      </c>
      <c r="F390" s="19">
        <v>508804192</v>
      </c>
      <c r="G390" s="19">
        <v>4</v>
      </c>
      <c r="H390" s="19">
        <v>24</v>
      </c>
      <c r="I390" s="19">
        <v>1276</v>
      </c>
      <c r="J390" s="25">
        <v>0.94043900000000002</v>
      </c>
      <c r="K390" s="26">
        <v>303.99934399999989</v>
      </c>
      <c r="L390" s="26">
        <v>15504</v>
      </c>
      <c r="M390" s="26">
        <v>9</v>
      </c>
      <c r="N390" s="26">
        <v>8</v>
      </c>
      <c r="O390" s="27">
        <v>17</v>
      </c>
      <c r="P390" s="19">
        <v>12</v>
      </c>
      <c r="Q390" s="19">
        <v>1</v>
      </c>
      <c r="R390" s="19" t="s">
        <v>431</v>
      </c>
      <c r="S390" s="26">
        <v>0</v>
      </c>
      <c r="T390" s="28" t="s">
        <v>1933</v>
      </c>
      <c r="U390" s="19" t="s">
        <v>1039</v>
      </c>
      <c r="V390" s="19" t="s">
        <v>431</v>
      </c>
      <c r="X390" t="b">
        <f>VLOOKUP(B390,'M10B Order'!B:F,5,FALSE)=W390</f>
        <v>1</v>
      </c>
    </row>
    <row r="391" spans="1:24" x14ac:dyDescent="0.2">
      <c r="A391" s="19">
        <v>554726356</v>
      </c>
      <c r="B391" s="19" t="s">
        <v>210</v>
      </c>
      <c r="C391" s="19" t="s">
        <v>209</v>
      </c>
      <c r="D391" s="19" t="s">
        <v>368</v>
      </c>
      <c r="E391" s="19" t="s">
        <v>1778</v>
      </c>
      <c r="F391" s="19">
        <v>508804192</v>
      </c>
      <c r="G391" s="19">
        <v>4</v>
      </c>
      <c r="H391" s="19">
        <v>24</v>
      </c>
      <c r="I391" s="19">
        <v>1276</v>
      </c>
      <c r="J391" s="25">
        <v>0.94514100000000001</v>
      </c>
      <c r="K391" s="26">
        <v>280.00033599999995</v>
      </c>
      <c r="L391" s="26">
        <v>32760</v>
      </c>
      <c r="M391" s="26">
        <v>9</v>
      </c>
      <c r="N391" s="26">
        <v>8</v>
      </c>
      <c r="O391" s="27">
        <v>17</v>
      </c>
      <c r="P391" s="19">
        <v>12</v>
      </c>
      <c r="Q391" s="19">
        <v>1</v>
      </c>
      <c r="R391" s="19" t="s">
        <v>431</v>
      </c>
      <c r="S391" s="26">
        <v>0</v>
      </c>
      <c r="T391" s="28" t="s">
        <v>1933</v>
      </c>
      <c r="U391" s="19" t="s">
        <v>1039</v>
      </c>
      <c r="V391" s="19" t="s">
        <v>431</v>
      </c>
      <c r="X391" t="b">
        <f>VLOOKUP(B391,'M10B Order'!B:F,5,FALSE)=W391</f>
        <v>1</v>
      </c>
    </row>
    <row r="392" spans="1:24" x14ac:dyDescent="0.2">
      <c r="A392" s="19">
        <v>554726163</v>
      </c>
      <c r="B392" s="19" t="s">
        <v>87</v>
      </c>
      <c r="C392" s="19" t="s">
        <v>86</v>
      </c>
      <c r="D392" s="19" t="s">
        <v>368</v>
      </c>
      <c r="E392" s="19" t="s">
        <v>1778</v>
      </c>
      <c r="F392" s="19">
        <v>508804192</v>
      </c>
      <c r="G392" s="19">
        <v>4</v>
      </c>
      <c r="H392" s="19">
        <v>24</v>
      </c>
      <c r="I392" s="19">
        <v>1276</v>
      </c>
      <c r="J392" s="25">
        <v>0.953762</v>
      </c>
      <c r="K392" s="26">
        <v>235.998752</v>
      </c>
      <c r="L392" s="26">
        <v>17664</v>
      </c>
      <c r="M392" s="26">
        <v>9</v>
      </c>
      <c r="N392" s="26">
        <v>8</v>
      </c>
      <c r="O392" s="27">
        <v>17</v>
      </c>
      <c r="P392" s="19">
        <v>12</v>
      </c>
      <c r="Q392" s="19">
        <v>1</v>
      </c>
      <c r="R392" s="19" t="s">
        <v>431</v>
      </c>
      <c r="S392" s="26">
        <v>0</v>
      </c>
      <c r="T392" s="28" t="s">
        <v>1933</v>
      </c>
      <c r="U392" s="19" t="s">
        <v>1039</v>
      </c>
      <c r="V392" s="19" t="s">
        <v>431</v>
      </c>
      <c r="X392" t="b">
        <f>VLOOKUP(B392,'M10B Order'!B:F,5,FALSE)=W392</f>
        <v>1</v>
      </c>
    </row>
    <row r="393" spans="1:24" x14ac:dyDescent="0.2">
      <c r="A393" s="19">
        <v>558137572</v>
      </c>
      <c r="B393" s="19" t="s">
        <v>512</v>
      </c>
      <c r="C393" s="19" t="s">
        <v>511</v>
      </c>
      <c r="D393" s="19" t="s">
        <v>368</v>
      </c>
      <c r="E393" s="19" t="s">
        <v>1778</v>
      </c>
      <c r="F393" s="19">
        <v>508804192</v>
      </c>
      <c r="G393" s="19">
        <v>4</v>
      </c>
      <c r="H393" s="19">
        <v>24</v>
      </c>
      <c r="I393" s="19">
        <v>3872</v>
      </c>
      <c r="J393" s="25">
        <v>0.97081600000000001</v>
      </c>
      <c r="K393" s="26">
        <v>452.0017919999998</v>
      </c>
      <c r="L393" s="26">
        <v>59520</v>
      </c>
      <c r="M393" s="26">
        <v>9</v>
      </c>
      <c r="N393" s="26">
        <v>8</v>
      </c>
      <c r="O393" s="27">
        <v>17</v>
      </c>
      <c r="P393" s="19">
        <v>12</v>
      </c>
      <c r="Q393" s="19">
        <v>1</v>
      </c>
      <c r="R393" s="19" t="s">
        <v>431</v>
      </c>
      <c r="S393" s="26">
        <v>0</v>
      </c>
      <c r="T393" s="28" t="s">
        <v>1933</v>
      </c>
      <c r="U393" s="19" t="s">
        <v>1039</v>
      </c>
      <c r="V393" s="19" t="s">
        <v>431</v>
      </c>
      <c r="X393" t="b">
        <f>VLOOKUP(B393,'M10B Order'!B:F,5,FALSE)=W393</f>
        <v>1</v>
      </c>
    </row>
    <row r="394" spans="1:24" x14ac:dyDescent="0.2">
      <c r="A394" s="19">
        <v>558137576</v>
      </c>
      <c r="B394" s="19" t="s">
        <v>514</v>
      </c>
      <c r="C394" s="19" t="s">
        <v>513</v>
      </c>
      <c r="D394" s="19" t="s">
        <v>368</v>
      </c>
      <c r="E394" s="19" t="s">
        <v>1778</v>
      </c>
      <c r="F394" s="19">
        <v>508804192</v>
      </c>
      <c r="G394" s="19">
        <v>4</v>
      </c>
      <c r="H394" s="19">
        <v>24</v>
      </c>
      <c r="I394" s="19">
        <v>3873</v>
      </c>
      <c r="J394" s="25">
        <v>0.97469700000000004</v>
      </c>
      <c r="K394" s="26">
        <v>391.99407599999944</v>
      </c>
      <c r="L394" s="26">
        <v>53760</v>
      </c>
      <c r="M394" s="26">
        <v>9</v>
      </c>
      <c r="N394" s="26">
        <v>8</v>
      </c>
      <c r="O394" s="27">
        <v>17</v>
      </c>
      <c r="P394" s="19">
        <v>12</v>
      </c>
      <c r="Q394" s="19">
        <v>1</v>
      </c>
      <c r="R394" s="19" t="s">
        <v>431</v>
      </c>
      <c r="S394" s="26">
        <v>0</v>
      </c>
      <c r="T394" s="28" t="s">
        <v>1933</v>
      </c>
      <c r="U394" s="19" t="s">
        <v>1039</v>
      </c>
      <c r="V394" s="19" t="s">
        <v>431</v>
      </c>
      <c r="X394" t="b">
        <f>VLOOKUP(B394,'M10B Order'!B:F,5,FALSE)=W394</f>
        <v>1</v>
      </c>
    </row>
    <row r="395" spans="1:24" x14ac:dyDescent="0.2">
      <c r="A395" s="19">
        <v>558137573</v>
      </c>
      <c r="B395" s="19" t="s">
        <v>516</v>
      </c>
      <c r="C395" s="19" t="s">
        <v>515</v>
      </c>
      <c r="D395" s="19" t="s">
        <v>368</v>
      </c>
      <c r="E395" s="19" t="s">
        <v>1778</v>
      </c>
      <c r="F395" s="19">
        <v>508804192</v>
      </c>
      <c r="G395" s="19">
        <v>4</v>
      </c>
      <c r="H395" s="19">
        <v>24</v>
      </c>
      <c r="I395" s="19">
        <v>3873</v>
      </c>
      <c r="J395" s="25">
        <v>0.966951</v>
      </c>
      <c r="K395" s="26">
        <v>511.9951079999999</v>
      </c>
      <c r="L395" s="26">
        <v>63984</v>
      </c>
      <c r="M395" s="26">
        <v>9</v>
      </c>
      <c r="N395" s="26">
        <v>8</v>
      </c>
      <c r="O395" s="27">
        <v>17</v>
      </c>
      <c r="P395" s="19">
        <v>12</v>
      </c>
      <c r="Q395" s="19">
        <v>1</v>
      </c>
      <c r="R395" s="19" t="s">
        <v>431</v>
      </c>
      <c r="S395" s="26">
        <v>0</v>
      </c>
      <c r="T395" s="28" t="s">
        <v>1933</v>
      </c>
      <c r="U395" s="19" t="s">
        <v>1039</v>
      </c>
      <c r="V395" s="19" t="s">
        <v>431</v>
      </c>
      <c r="X395" t="b">
        <f>VLOOKUP(B395,'M10B Order'!B:F,5,FALSE)=W395</f>
        <v>1</v>
      </c>
    </row>
    <row r="396" spans="1:24" x14ac:dyDescent="0.2">
      <c r="A396" s="19">
        <v>558137571</v>
      </c>
      <c r="B396" s="19" t="s">
        <v>518</v>
      </c>
      <c r="C396" s="19" t="s">
        <v>517</v>
      </c>
      <c r="D396" s="19" t="s">
        <v>368</v>
      </c>
      <c r="E396" s="19" t="s">
        <v>1778</v>
      </c>
      <c r="F396" s="19">
        <v>508804192</v>
      </c>
      <c r="G396" s="19">
        <v>4</v>
      </c>
      <c r="H396" s="19">
        <v>24</v>
      </c>
      <c r="I396" s="19">
        <v>1262</v>
      </c>
      <c r="J396" s="25">
        <v>0.96117300000000006</v>
      </c>
      <c r="K396" s="26">
        <v>195.99869599999971</v>
      </c>
      <c r="L396" s="26">
        <v>31056</v>
      </c>
      <c r="M396" s="26">
        <v>9</v>
      </c>
      <c r="N396" s="26">
        <v>8</v>
      </c>
      <c r="O396" s="27">
        <v>17</v>
      </c>
      <c r="P396" s="19">
        <v>12</v>
      </c>
      <c r="Q396" s="19">
        <v>1</v>
      </c>
      <c r="R396" s="19" t="s">
        <v>431</v>
      </c>
      <c r="S396" s="26">
        <v>0</v>
      </c>
      <c r="T396" s="28" t="s">
        <v>1933</v>
      </c>
      <c r="U396" s="19" t="s">
        <v>1039</v>
      </c>
      <c r="V396" s="19" t="s">
        <v>431</v>
      </c>
      <c r="X396" t="b">
        <f>VLOOKUP(B396,'M10B Order'!B:F,5,FALSE)=W396</f>
        <v>1</v>
      </c>
    </row>
    <row r="397" spans="1:24" x14ac:dyDescent="0.2">
      <c r="A397" s="19">
        <v>558137575</v>
      </c>
      <c r="B397" s="19" t="s">
        <v>520</v>
      </c>
      <c r="C397" s="19" t="s">
        <v>519</v>
      </c>
      <c r="D397" s="19" t="s">
        <v>368</v>
      </c>
      <c r="E397" s="19" t="s">
        <v>1778</v>
      </c>
      <c r="F397" s="19">
        <v>508804192</v>
      </c>
      <c r="G397" s="19">
        <v>4</v>
      </c>
      <c r="H397" s="19">
        <v>24</v>
      </c>
      <c r="I397" s="19">
        <v>1262</v>
      </c>
      <c r="J397" s="25">
        <v>0.97147399999999995</v>
      </c>
      <c r="K397" s="26">
        <v>143.99924800000025</v>
      </c>
      <c r="L397" s="26">
        <v>26760</v>
      </c>
      <c r="M397" s="26">
        <v>9</v>
      </c>
      <c r="N397" s="26">
        <v>8</v>
      </c>
      <c r="O397" s="27">
        <v>17</v>
      </c>
      <c r="P397" s="19">
        <v>12</v>
      </c>
      <c r="Q397" s="19">
        <v>1</v>
      </c>
      <c r="R397" s="19" t="s">
        <v>431</v>
      </c>
      <c r="S397" s="26">
        <v>0</v>
      </c>
      <c r="T397" s="28" t="s">
        <v>1933</v>
      </c>
      <c r="U397" s="19" t="s">
        <v>1039</v>
      </c>
      <c r="V397" s="19" t="s">
        <v>431</v>
      </c>
      <c r="X397" t="b">
        <f>VLOOKUP(B397,'M10B Order'!B:F,5,FALSE)=W397</f>
        <v>1</v>
      </c>
    </row>
    <row r="398" spans="1:24" x14ac:dyDescent="0.2">
      <c r="A398" s="19">
        <v>573626642</v>
      </c>
      <c r="B398" s="19" t="s">
        <v>825</v>
      </c>
      <c r="C398" s="19" t="s">
        <v>826</v>
      </c>
      <c r="D398" s="19" t="s">
        <v>368</v>
      </c>
      <c r="E398" s="19" t="s">
        <v>1778</v>
      </c>
      <c r="F398" s="19">
        <v>508804192</v>
      </c>
      <c r="G398" s="19">
        <v>4</v>
      </c>
      <c r="H398" s="19">
        <v>24</v>
      </c>
      <c r="I398" s="19">
        <v>1232</v>
      </c>
      <c r="J398" s="25">
        <v>0.96022700000000005</v>
      </c>
      <c r="K398" s="26">
        <v>196.00134399999973</v>
      </c>
      <c r="L398" s="26">
        <v>30528</v>
      </c>
      <c r="M398" s="26">
        <v>9</v>
      </c>
      <c r="N398" s="26">
        <v>8</v>
      </c>
      <c r="O398" s="27">
        <v>17</v>
      </c>
      <c r="P398" s="19">
        <v>12</v>
      </c>
      <c r="Q398" s="19">
        <v>1</v>
      </c>
      <c r="R398" s="19" t="s">
        <v>431</v>
      </c>
      <c r="S398" s="26">
        <v>0</v>
      </c>
      <c r="T398" s="28" t="s">
        <v>1933</v>
      </c>
      <c r="U398" s="19" t="s">
        <v>431</v>
      </c>
      <c r="V398" s="19" t="s">
        <v>431</v>
      </c>
      <c r="X398" t="b">
        <f>VLOOKUP(B398,'M10B Order'!B:F,5,FALSE)=W398</f>
        <v>1</v>
      </c>
    </row>
    <row r="399" spans="1:24" x14ac:dyDescent="0.2">
      <c r="A399" s="19">
        <v>573626595</v>
      </c>
      <c r="B399" s="19" t="s">
        <v>823</v>
      </c>
      <c r="C399" s="19" t="s">
        <v>824</v>
      </c>
      <c r="D399" s="19" t="s">
        <v>368</v>
      </c>
      <c r="E399" s="19" t="s">
        <v>1778</v>
      </c>
      <c r="F399" s="19">
        <v>508804192</v>
      </c>
      <c r="G399" s="19">
        <v>4</v>
      </c>
      <c r="H399" s="19">
        <v>24</v>
      </c>
      <c r="I399" s="19">
        <v>1233</v>
      </c>
      <c r="J399" s="25">
        <v>0.97891300000000003</v>
      </c>
      <c r="K399" s="26">
        <v>104.00108399999984</v>
      </c>
      <c r="L399" s="26">
        <v>111912</v>
      </c>
      <c r="M399" s="26">
        <v>9</v>
      </c>
      <c r="N399" s="26">
        <v>8</v>
      </c>
      <c r="O399" s="27">
        <v>17</v>
      </c>
      <c r="P399" s="19">
        <v>12</v>
      </c>
      <c r="Q399" s="19">
        <v>1</v>
      </c>
      <c r="R399" s="19" t="s">
        <v>431</v>
      </c>
      <c r="S399" s="26">
        <v>0</v>
      </c>
      <c r="T399" s="28" t="s">
        <v>1933</v>
      </c>
      <c r="U399" s="19" t="s">
        <v>431</v>
      </c>
      <c r="V399" s="19" t="s">
        <v>431</v>
      </c>
      <c r="X399" t="b">
        <f>VLOOKUP(B399,'M10B Order'!B:F,5,FALSE)=W399</f>
        <v>1</v>
      </c>
    </row>
    <row r="400" spans="1:24" x14ac:dyDescent="0.2">
      <c r="A400" s="19">
        <v>573626583</v>
      </c>
      <c r="B400" s="19" t="s">
        <v>821</v>
      </c>
      <c r="C400" s="19" t="s">
        <v>822</v>
      </c>
      <c r="D400" s="19" t="s">
        <v>368</v>
      </c>
      <c r="E400" s="19" t="s">
        <v>1778</v>
      </c>
      <c r="F400" s="19">
        <v>508804192</v>
      </c>
      <c r="G400" s="19">
        <v>4</v>
      </c>
      <c r="H400" s="19">
        <v>24</v>
      </c>
      <c r="I400" s="19">
        <v>3873</v>
      </c>
      <c r="J400" s="25">
        <v>0.97857000000000005</v>
      </c>
      <c r="K400" s="26">
        <v>331.99355999999921</v>
      </c>
      <c r="L400" s="26">
        <v>28776</v>
      </c>
      <c r="M400" s="26">
        <v>9</v>
      </c>
      <c r="N400" s="26">
        <v>8</v>
      </c>
      <c r="O400" s="27">
        <v>17</v>
      </c>
      <c r="P400" s="19">
        <v>12</v>
      </c>
      <c r="Q400" s="19">
        <v>1</v>
      </c>
      <c r="R400" s="19" t="s">
        <v>431</v>
      </c>
      <c r="S400" s="26">
        <v>0</v>
      </c>
      <c r="T400" s="28" t="s">
        <v>1933</v>
      </c>
      <c r="U400" s="19" t="s">
        <v>721</v>
      </c>
      <c r="V400" s="19" t="s">
        <v>431</v>
      </c>
      <c r="X400" t="b">
        <f>VLOOKUP(B400,'M10B Order'!B:F,5,FALSE)=W400</f>
        <v>1</v>
      </c>
    </row>
    <row r="401" spans="1:24" x14ac:dyDescent="0.2">
      <c r="A401" s="19">
        <v>573626587</v>
      </c>
      <c r="B401" s="19" t="s">
        <v>819</v>
      </c>
      <c r="C401" s="19" t="s">
        <v>820</v>
      </c>
      <c r="D401" s="19" t="s">
        <v>368</v>
      </c>
      <c r="E401" s="19" t="s">
        <v>1778</v>
      </c>
      <c r="F401" s="19">
        <v>508804192</v>
      </c>
      <c r="G401" s="19">
        <v>4</v>
      </c>
      <c r="H401" s="19">
        <v>24</v>
      </c>
      <c r="I401" s="19">
        <v>1263</v>
      </c>
      <c r="J401" s="25">
        <v>0.947743</v>
      </c>
      <c r="K401" s="26">
        <v>264.002364</v>
      </c>
      <c r="L401" s="26">
        <v>22296</v>
      </c>
      <c r="M401" s="26">
        <v>9</v>
      </c>
      <c r="N401" s="26">
        <v>8</v>
      </c>
      <c r="O401" s="27">
        <v>17</v>
      </c>
      <c r="P401" s="19">
        <v>12</v>
      </c>
      <c r="Q401" s="19">
        <v>1</v>
      </c>
      <c r="R401" s="19" t="s">
        <v>431</v>
      </c>
      <c r="S401" s="26">
        <v>0</v>
      </c>
      <c r="T401" s="28" t="s">
        <v>1933</v>
      </c>
      <c r="U401" s="19" t="s">
        <v>936</v>
      </c>
      <c r="V401" s="19">
        <v>0</v>
      </c>
      <c r="X401" t="b">
        <f>VLOOKUP(B401,'M10B Order'!B:F,5,FALSE)=W401</f>
        <v>1</v>
      </c>
    </row>
    <row r="402" spans="1:24" x14ac:dyDescent="0.2">
      <c r="A402" s="19">
        <v>573626593</v>
      </c>
      <c r="B402" s="19" t="s">
        <v>817</v>
      </c>
      <c r="C402" s="19" t="s">
        <v>818</v>
      </c>
      <c r="D402" s="19" t="s">
        <v>368</v>
      </c>
      <c r="E402" s="19" t="s">
        <v>1778</v>
      </c>
      <c r="F402" s="19">
        <v>508804192</v>
      </c>
      <c r="G402" s="19">
        <v>4</v>
      </c>
      <c r="H402" s="19">
        <v>24</v>
      </c>
      <c r="I402" s="19">
        <v>1260</v>
      </c>
      <c r="J402" s="25">
        <v>0.97301599999999999</v>
      </c>
      <c r="K402" s="26">
        <v>135.99936000000005</v>
      </c>
      <c r="L402" s="26">
        <v>33768</v>
      </c>
      <c r="M402" s="26">
        <v>9</v>
      </c>
      <c r="N402" s="26">
        <v>8</v>
      </c>
      <c r="O402" s="27">
        <v>17</v>
      </c>
      <c r="P402" s="19">
        <v>12</v>
      </c>
      <c r="Q402" s="19">
        <v>1</v>
      </c>
      <c r="R402" s="19" t="s">
        <v>431</v>
      </c>
      <c r="S402" s="26">
        <v>0</v>
      </c>
      <c r="T402" s="28" t="s">
        <v>1933</v>
      </c>
      <c r="U402" s="19" t="s">
        <v>431</v>
      </c>
      <c r="V402" s="19" t="s">
        <v>431</v>
      </c>
      <c r="X402" t="b">
        <f>VLOOKUP(B402,'M10B Order'!B:F,5,FALSE)=W402</f>
        <v>1</v>
      </c>
    </row>
    <row r="403" spans="1:24" x14ac:dyDescent="0.2">
      <c r="A403" s="19">
        <v>573626484</v>
      </c>
      <c r="B403" s="19" t="s">
        <v>815</v>
      </c>
      <c r="C403" s="19" t="s">
        <v>816</v>
      </c>
      <c r="D403" s="19" t="s">
        <v>368</v>
      </c>
      <c r="E403" s="19" t="s">
        <v>1778</v>
      </c>
      <c r="F403" s="19">
        <v>508804192</v>
      </c>
      <c r="G403" s="19">
        <v>4</v>
      </c>
      <c r="H403" s="19">
        <v>24</v>
      </c>
      <c r="I403" s="19">
        <v>1262</v>
      </c>
      <c r="J403" s="25">
        <v>0.97305900000000001</v>
      </c>
      <c r="K403" s="26">
        <v>135.99816799999996</v>
      </c>
      <c r="L403" s="26">
        <v>38616</v>
      </c>
      <c r="M403" s="26">
        <v>9</v>
      </c>
      <c r="N403" s="26">
        <v>8</v>
      </c>
      <c r="O403" s="27">
        <v>17</v>
      </c>
      <c r="P403" s="19">
        <v>12</v>
      </c>
      <c r="Q403" s="19">
        <v>1</v>
      </c>
      <c r="R403" s="19" t="s">
        <v>431</v>
      </c>
      <c r="S403" s="26">
        <v>0</v>
      </c>
      <c r="T403" s="28" t="s">
        <v>1933</v>
      </c>
      <c r="U403" s="19" t="s">
        <v>431</v>
      </c>
      <c r="V403" s="19" t="s">
        <v>431</v>
      </c>
      <c r="X403" t="b">
        <f>VLOOKUP(B403,'M10B Order'!B:F,5,FALSE)=W403</f>
        <v>1</v>
      </c>
    </row>
    <row r="404" spans="1:24" x14ac:dyDescent="0.2">
      <c r="A404" s="19">
        <v>573626607</v>
      </c>
      <c r="B404" s="19" t="s">
        <v>813</v>
      </c>
      <c r="C404" s="19" t="s">
        <v>814</v>
      </c>
      <c r="D404" s="19" t="s">
        <v>368</v>
      </c>
      <c r="E404" s="19" t="s">
        <v>1778</v>
      </c>
      <c r="F404" s="19">
        <v>508804192</v>
      </c>
      <c r="G404" s="19">
        <v>4</v>
      </c>
      <c r="H404" s="19">
        <v>24</v>
      </c>
      <c r="I404" s="19">
        <v>1261</v>
      </c>
      <c r="J404" s="25">
        <v>0.964314</v>
      </c>
      <c r="K404" s="26">
        <v>180.00018399999999</v>
      </c>
      <c r="L404" s="26">
        <v>16296</v>
      </c>
      <c r="M404" s="26">
        <v>9</v>
      </c>
      <c r="N404" s="26">
        <v>8</v>
      </c>
      <c r="O404" s="27">
        <v>17</v>
      </c>
      <c r="P404" s="19">
        <v>12</v>
      </c>
      <c r="Q404" s="19">
        <v>1</v>
      </c>
      <c r="R404" s="19" t="s">
        <v>431</v>
      </c>
      <c r="S404" s="26">
        <v>0</v>
      </c>
      <c r="T404" s="28" t="s">
        <v>1933</v>
      </c>
      <c r="U404" s="19" t="s">
        <v>928</v>
      </c>
      <c r="V404" s="19" t="s">
        <v>431</v>
      </c>
      <c r="X404" t="b">
        <f>VLOOKUP(B404,'M10B Order'!B:F,5,FALSE)=W404</f>
        <v>1</v>
      </c>
    </row>
    <row r="405" spans="1:24" x14ac:dyDescent="0.2">
      <c r="A405" s="19">
        <v>573626649</v>
      </c>
      <c r="B405" s="19" t="s">
        <v>811</v>
      </c>
      <c r="C405" s="19" t="s">
        <v>812</v>
      </c>
      <c r="D405" s="19" t="s">
        <v>368</v>
      </c>
      <c r="E405" s="19" t="s">
        <v>1778</v>
      </c>
      <c r="F405" s="19">
        <v>508804192</v>
      </c>
      <c r="G405" s="19">
        <v>4</v>
      </c>
      <c r="H405" s="19">
        <v>24</v>
      </c>
      <c r="I405" s="19">
        <v>1262</v>
      </c>
      <c r="J405" s="25">
        <v>0.96830400000000005</v>
      </c>
      <c r="K405" s="26">
        <v>160.00140799999974</v>
      </c>
      <c r="L405" s="26">
        <v>97296</v>
      </c>
      <c r="M405" s="26">
        <v>9</v>
      </c>
      <c r="N405" s="26">
        <v>8</v>
      </c>
      <c r="O405" s="27">
        <v>17</v>
      </c>
      <c r="P405" s="19">
        <v>12</v>
      </c>
      <c r="Q405" s="19">
        <v>1</v>
      </c>
      <c r="R405" s="19" t="s">
        <v>431</v>
      </c>
      <c r="S405" s="26">
        <v>0</v>
      </c>
      <c r="T405" s="28" t="s">
        <v>1933</v>
      </c>
      <c r="U405" s="19" t="s">
        <v>431</v>
      </c>
      <c r="V405" s="19" t="s">
        <v>431</v>
      </c>
      <c r="X405" t="b">
        <f>VLOOKUP(B405,'M10B Order'!B:F,5,FALSE)=W405</f>
        <v>1</v>
      </c>
    </row>
    <row r="406" spans="1:24" x14ac:dyDescent="0.2">
      <c r="A406" s="19">
        <v>573626662</v>
      </c>
      <c r="B406" s="19" t="s">
        <v>809</v>
      </c>
      <c r="C406" s="19" t="s">
        <v>810</v>
      </c>
      <c r="D406" s="19" t="s">
        <v>368</v>
      </c>
      <c r="E406" s="19" t="s">
        <v>1778</v>
      </c>
      <c r="F406" s="19">
        <v>508804192</v>
      </c>
      <c r="G406" s="19">
        <v>4</v>
      </c>
      <c r="H406" s="19">
        <v>24</v>
      </c>
      <c r="I406" s="19">
        <v>3873</v>
      </c>
      <c r="J406" s="25">
        <v>0.96798300000000004</v>
      </c>
      <c r="K406" s="26">
        <v>496.00736399999943</v>
      </c>
      <c r="L406" s="26">
        <v>51192</v>
      </c>
      <c r="M406" s="26">
        <v>9</v>
      </c>
      <c r="N406" s="26">
        <v>8</v>
      </c>
      <c r="O406" s="27">
        <v>17</v>
      </c>
      <c r="P406" s="19">
        <v>12</v>
      </c>
      <c r="Q406" s="19">
        <v>1</v>
      </c>
      <c r="R406" s="19" t="s">
        <v>431</v>
      </c>
      <c r="S406" s="26">
        <v>0</v>
      </c>
      <c r="T406" s="28" t="s">
        <v>1933</v>
      </c>
      <c r="U406" s="19" t="s">
        <v>431</v>
      </c>
      <c r="V406" s="19" t="s">
        <v>431</v>
      </c>
      <c r="X406" t="b">
        <f>VLOOKUP(B406,'M10B Order'!B:F,5,FALSE)=W406</f>
        <v>1</v>
      </c>
    </row>
    <row r="407" spans="1:24" x14ac:dyDescent="0.2">
      <c r="A407" s="19">
        <v>573626660</v>
      </c>
      <c r="B407" s="19" t="s">
        <v>805</v>
      </c>
      <c r="C407" s="19" t="s">
        <v>806</v>
      </c>
      <c r="D407" s="19" t="s">
        <v>368</v>
      </c>
      <c r="E407" s="19" t="s">
        <v>1778</v>
      </c>
      <c r="F407" s="19">
        <v>508804192</v>
      </c>
      <c r="G407" s="19">
        <v>4</v>
      </c>
      <c r="H407" s="19">
        <v>24</v>
      </c>
      <c r="I407" s="19">
        <v>1233</v>
      </c>
      <c r="J407" s="25">
        <v>0.95782599999999996</v>
      </c>
      <c r="K407" s="26">
        <v>208.00216800000021</v>
      </c>
      <c r="L407" s="26">
        <v>79488</v>
      </c>
      <c r="M407" s="26">
        <v>9</v>
      </c>
      <c r="N407" s="26">
        <v>8</v>
      </c>
      <c r="O407" s="27">
        <v>17</v>
      </c>
      <c r="P407" s="19">
        <v>12</v>
      </c>
      <c r="Q407" s="19">
        <v>1</v>
      </c>
      <c r="R407" s="19" t="s">
        <v>431</v>
      </c>
      <c r="S407" s="26">
        <v>0</v>
      </c>
      <c r="T407" s="28" t="s">
        <v>1933</v>
      </c>
      <c r="U407" s="19" t="s">
        <v>902</v>
      </c>
      <c r="V407" s="19">
        <v>0</v>
      </c>
      <c r="X407" t="b">
        <f>VLOOKUP(B407,'M10B Order'!B:F,5,FALSE)=W407</f>
        <v>1</v>
      </c>
    </row>
    <row r="408" spans="1:24" x14ac:dyDescent="0.2">
      <c r="A408" s="19">
        <v>573626664</v>
      </c>
      <c r="B408" s="19" t="s">
        <v>803</v>
      </c>
      <c r="C408" s="19" t="s">
        <v>804</v>
      </c>
      <c r="D408" s="19" t="s">
        <v>368</v>
      </c>
      <c r="E408" s="19" t="s">
        <v>1778</v>
      </c>
      <c r="F408" s="19">
        <v>508804192</v>
      </c>
      <c r="G408" s="19">
        <v>4</v>
      </c>
      <c r="H408" s="19">
        <v>24</v>
      </c>
      <c r="I408" s="19">
        <v>1233</v>
      </c>
      <c r="J408" s="25">
        <v>0.974858</v>
      </c>
      <c r="K408" s="26">
        <v>124.00034399999998</v>
      </c>
      <c r="L408" s="26">
        <v>107088</v>
      </c>
      <c r="M408" s="26">
        <v>9</v>
      </c>
      <c r="N408" s="26">
        <v>8</v>
      </c>
      <c r="O408" s="27">
        <v>17</v>
      </c>
      <c r="P408" s="19">
        <v>12</v>
      </c>
      <c r="Q408" s="19">
        <v>1</v>
      </c>
      <c r="R408" s="19" t="s">
        <v>431</v>
      </c>
      <c r="S408" s="26">
        <v>0</v>
      </c>
      <c r="T408" s="28" t="s">
        <v>1933</v>
      </c>
      <c r="U408" s="19" t="s">
        <v>431</v>
      </c>
      <c r="V408" s="19" t="s">
        <v>431</v>
      </c>
      <c r="X408" t="b">
        <f>VLOOKUP(B408,'M10B Order'!B:F,5,FALSE)=W408</f>
        <v>1</v>
      </c>
    </row>
    <row r="409" spans="1:24" x14ac:dyDescent="0.2">
      <c r="A409" s="19">
        <v>573626669</v>
      </c>
      <c r="B409" s="19" t="s">
        <v>801</v>
      </c>
      <c r="C409" s="19" t="s">
        <v>802</v>
      </c>
      <c r="D409" s="19" t="s">
        <v>368</v>
      </c>
      <c r="E409" s="19" t="s">
        <v>1778</v>
      </c>
      <c r="F409" s="19">
        <v>508804192</v>
      </c>
      <c r="G409" s="19">
        <v>4</v>
      </c>
      <c r="H409" s="19">
        <v>24</v>
      </c>
      <c r="I409" s="19">
        <v>1261</v>
      </c>
      <c r="J409" s="25">
        <v>0.95876300000000003</v>
      </c>
      <c r="K409" s="26">
        <v>207.99942799999985</v>
      </c>
      <c r="L409" s="26">
        <v>19080</v>
      </c>
      <c r="M409" s="26">
        <v>9</v>
      </c>
      <c r="N409" s="26">
        <v>8</v>
      </c>
      <c r="O409" s="27">
        <v>17</v>
      </c>
      <c r="P409" s="19">
        <v>12</v>
      </c>
      <c r="Q409" s="19">
        <v>1</v>
      </c>
      <c r="R409" s="19" t="s">
        <v>431</v>
      </c>
      <c r="S409" s="26">
        <v>0</v>
      </c>
      <c r="T409" s="28" t="s">
        <v>1933</v>
      </c>
      <c r="U409" s="19" t="s">
        <v>900</v>
      </c>
      <c r="V409" s="19">
        <v>0</v>
      </c>
      <c r="X409" t="b">
        <f>VLOOKUP(B409,'M10B Order'!B:F,5,FALSE)=W409</f>
        <v>1</v>
      </c>
    </row>
    <row r="410" spans="1:24" x14ac:dyDescent="0.2">
      <c r="A410" s="19">
        <v>573626658</v>
      </c>
      <c r="B410" s="19" t="s">
        <v>799</v>
      </c>
      <c r="C410" s="19" t="s">
        <v>800</v>
      </c>
      <c r="D410" s="19" t="s">
        <v>368</v>
      </c>
      <c r="E410" s="19" t="s">
        <v>1778</v>
      </c>
      <c r="F410" s="19">
        <v>508804192</v>
      </c>
      <c r="G410" s="19">
        <v>4</v>
      </c>
      <c r="H410" s="19">
        <v>24</v>
      </c>
      <c r="I410" s="19">
        <v>1263</v>
      </c>
      <c r="J410" s="25">
        <v>0.96120300000000003</v>
      </c>
      <c r="K410" s="26">
        <v>196.00244399999985</v>
      </c>
      <c r="L410" s="26">
        <v>43152</v>
      </c>
      <c r="M410" s="26">
        <v>9</v>
      </c>
      <c r="N410" s="26">
        <v>8</v>
      </c>
      <c r="O410" s="27">
        <v>17</v>
      </c>
      <c r="P410" s="19">
        <v>12</v>
      </c>
      <c r="Q410" s="19">
        <v>1</v>
      </c>
      <c r="R410" s="19" t="s">
        <v>431</v>
      </c>
      <c r="S410" s="26">
        <v>0</v>
      </c>
      <c r="T410" s="28" t="s">
        <v>1933</v>
      </c>
      <c r="U410" s="19" t="s">
        <v>890</v>
      </c>
      <c r="V410" s="19">
        <v>0</v>
      </c>
      <c r="X410" t="b">
        <f>VLOOKUP(B410,'M10B Order'!B:F,5,FALSE)=W410</f>
        <v>1</v>
      </c>
    </row>
    <row r="411" spans="1:24" x14ac:dyDescent="0.2">
      <c r="A411" s="19">
        <v>573626698</v>
      </c>
      <c r="B411" s="19" t="s">
        <v>797</v>
      </c>
      <c r="C411" s="19" t="s">
        <v>798</v>
      </c>
      <c r="D411" s="19" t="s">
        <v>368</v>
      </c>
      <c r="E411" s="19" t="s">
        <v>1778</v>
      </c>
      <c r="F411" s="19">
        <v>508804192</v>
      </c>
      <c r="G411" s="19">
        <v>4</v>
      </c>
      <c r="H411" s="19">
        <v>24</v>
      </c>
      <c r="I411" s="19">
        <v>1262</v>
      </c>
      <c r="J411" s="25">
        <v>0.95721100000000003</v>
      </c>
      <c r="K411" s="26">
        <v>215.99887199999984</v>
      </c>
      <c r="L411" s="26">
        <v>28224</v>
      </c>
      <c r="M411" s="26">
        <v>9</v>
      </c>
      <c r="N411" s="26">
        <v>8</v>
      </c>
      <c r="O411" s="27">
        <v>17</v>
      </c>
      <c r="P411" s="19">
        <v>12</v>
      </c>
      <c r="Q411" s="19">
        <v>1</v>
      </c>
      <c r="R411" s="19" t="s">
        <v>431</v>
      </c>
      <c r="S411" s="26">
        <v>0</v>
      </c>
      <c r="T411" s="28" t="s">
        <v>1933</v>
      </c>
      <c r="U411" s="19" t="s">
        <v>888</v>
      </c>
      <c r="V411" s="19">
        <v>0</v>
      </c>
      <c r="X411" t="b">
        <f>VLOOKUP(B411,'M10B Order'!B:F,5,FALSE)=W411</f>
        <v>1</v>
      </c>
    </row>
    <row r="412" spans="1:24" x14ac:dyDescent="0.2">
      <c r="A412" s="19">
        <v>573626677</v>
      </c>
      <c r="B412" s="19" t="s">
        <v>795</v>
      </c>
      <c r="C412" s="19" t="s">
        <v>796</v>
      </c>
      <c r="D412" s="19" t="s">
        <v>368</v>
      </c>
      <c r="E412" s="19" t="s">
        <v>1778</v>
      </c>
      <c r="F412" s="19">
        <v>508804192</v>
      </c>
      <c r="G412" s="19">
        <v>4</v>
      </c>
      <c r="H412" s="19">
        <v>24</v>
      </c>
      <c r="I412" s="19">
        <v>3872</v>
      </c>
      <c r="J412" s="25">
        <v>0.95971099999999998</v>
      </c>
      <c r="K412" s="26">
        <v>623.99603200000024</v>
      </c>
      <c r="L412" s="26">
        <v>40848</v>
      </c>
      <c r="M412" s="26">
        <v>9</v>
      </c>
      <c r="N412" s="26">
        <v>8</v>
      </c>
      <c r="O412" s="27">
        <v>17</v>
      </c>
      <c r="P412" s="19">
        <v>12</v>
      </c>
      <c r="Q412" s="19">
        <v>1</v>
      </c>
      <c r="R412" s="19" t="s">
        <v>431</v>
      </c>
      <c r="S412" s="26">
        <v>0</v>
      </c>
      <c r="T412" s="28" t="s">
        <v>1933</v>
      </c>
      <c r="U412" s="19" t="s">
        <v>852</v>
      </c>
      <c r="V412" s="19">
        <v>0</v>
      </c>
      <c r="X412" t="b">
        <f>VLOOKUP(B412,'M10B Order'!B:F,5,FALSE)=W412</f>
        <v>1</v>
      </c>
    </row>
    <row r="413" spans="1:24" x14ac:dyDescent="0.2">
      <c r="A413" s="19">
        <v>578808798</v>
      </c>
      <c r="B413" s="19" t="s">
        <v>1675</v>
      </c>
      <c r="C413" s="19" t="s">
        <v>1676</v>
      </c>
      <c r="D413" s="19" t="s">
        <v>368</v>
      </c>
      <c r="E413" s="19" t="s">
        <v>1778</v>
      </c>
      <c r="F413" s="19">
        <v>508804192</v>
      </c>
      <c r="G413" s="19">
        <v>4</v>
      </c>
      <c r="H413" s="19">
        <v>24</v>
      </c>
      <c r="I413" s="19">
        <v>1233</v>
      </c>
      <c r="J413" s="25">
        <v>0.95944799999999997</v>
      </c>
      <c r="K413" s="26">
        <v>200.00246400000017</v>
      </c>
      <c r="L413" s="26">
        <v>7176</v>
      </c>
      <c r="M413" s="26">
        <v>9</v>
      </c>
      <c r="N413" s="26">
        <v>8</v>
      </c>
      <c r="O413" s="27">
        <v>17</v>
      </c>
      <c r="P413" s="19">
        <v>12</v>
      </c>
      <c r="Q413" s="19">
        <v>1</v>
      </c>
      <c r="R413" s="19" t="s">
        <v>431</v>
      </c>
      <c r="S413" s="26">
        <v>0</v>
      </c>
      <c r="T413" s="28">
        <v>28</v>
      </c>
      <c r="U413" s="19" t="s">
        <v>1459</v>
      </c>
      <c r="V413" s="19">
        <v>0</v>
      </c>
      <c r="X413" t="b">
        <f>VLOOKUP(B413,'M10B Order'!B:F,5,FALSE)=W413</f>
        <v>1</v>
      </c>
    </row>
    <row r="414" spans="1:24" x14ac:dyDescent="0.2">
      <c r="A414" s="19">
        <v>554715476</v>
      </c>
      <c r="B414" s="19" t="s">
        <v>172</v>
      </c>
      <c r="C414" s="19" t="s">
        <v>171</v>
      </c>
      <c r="D414" s="19" t="s">
        <v>369</v>
      </c>
      <c r="E414" s="19" t="s">
        <v>1777</v>
      </c>
      <c r="F414" s="19">
        <v>508804192</v>
      </c>
      <c r="G414" s="19">
        <v>4</v>
      </c>
      <c r="H414" s="19">
        <v>24</v>
      </c>
      <c r="I414" s="19">
        <v>3887</v>
      </c>
      <c r="J414" s="25">
        <v>0.95857999999999999</v>
      </c>
      <c r="K414" s="26">
        <v>643.99816000000021</v>
      </c>
      <c r="L414" s="26">
        <v>34656</v>
      </c>
      <c r="M414" s="26">
        <v>9</v>
      </c>
      <c r="N414" s="26">
        <v>8</v>
      </c>
      <c r="O414" s="27">
        <v>17</v>
      </c>
      <c r="P414" s="19">
        <v>22</v>
      </c>
      <c r="Q414" s="19">
        <v>4</v>
      </c>
      <c r="R414" s="19" t="s">
        <v>431</v>
      </c>
      <c r="S414" s="26">
        <v>0</v>
      </c>
      <c r="T414" s="28">
        <v>28</v>
      </c>
      <c r="U414" s="19" t="s">
        <v>1040</v>
      </c>
      <c r="V414" s="19" t="s">
        <v>431</v>
      </c>
      <c r="X414" t="b">
        <f>VLOOKUP(B414,'M10B Order'!B:F,5,FALSE)=W414</f>
        <v>1</v>
      </c>
    </row>
    <row r="415" spans="1:24" x14ac:dyDescent="0.2">
      <c r="A415" s="19">
        <v>554737610</v>
      </c>
      <c r="B415" s="19" t="s">
        <v>79</v>
      </c>
      <c r="C415" s="19" t="s">
        <v>78</v>
      </c>
      <c r="D415" s="19" t="s">
        <v>369</v>
      </c>
      <c r="E415" s="19" t="s">
        <v>1777</v>
      </c>
      <c r="F415" s="19">
        <v>508804192</v>
      </c>
      <c r="G415" s="19">
        <v>4</v>
      </c>
      <c r="H415" s="19">
        <v>24</v>
      </c>
      <c r="I415" s="19">
        <v>1277</v>
      </c>
      <c r="J415" s="25">
        <v>0.93970200000000004</v>
      </c>
      <c r="K415" s="26">
        <v>308.00218399999983</v>
      </c>
      <c r="L415" s="26">
        <v>30192</v>
      </c>
      <c r="M415" s="26">
        <v>9</v>
      </c>
      <c r="N415" s="26">
        <v>8</v>
      </c>
      <c r="O415" s="27">
        <v>17</v>
      </c>
      <c r="P415" s="19">
        <v>22</v>
      </c>
      <c r="Q415" s="19">
        <v>4</v>
      </c>
      <c r="R415" s="19" t="s">
        <v>431</v>
      </c>
      <c r="S415" s="26">
        <v>0</v>
      </c>
      <c r="T415" s="28" t="s">
        <v>1933</v>
      </c>
      <c r="U415" s="19" t="s">
        <v>1040</v>
      </c>
      <c r="V415" s="19" t="s">
        <v>431</v>
      </c>
      <c r="X415" t="b">
        <f>VLOOKUP(B415,'M10B Order'!B:F,5,FALSE)=W415</f>
        <v>1</v>
      </c>
    </row>
    <row r="416" spans="1:24" x14ac:dyDescent="0.2">
      <c r="A416" s="19">
        <v>554737658</v>
      </c>
      <c r="B416" s="19" t="s">
        <v>47</v>
      </c>
      <c r="C416" s="19" t="s">
        <v>46</v>
      </c>
      <c r="D416" s="19" t="s">
        <v>369</v>
      </c>
      <c r="E416" s="19" t="s">
        <v>1777</v>
      </c>
      <c r="F416" s="19">
        <v>508804192</v>
      </c>
      <c r="G416" s="19">
        <v>4</v>
      </c>
      <c r="H416" s="19">
        <v>24</v>
      </c>
      <c r="I416" s="19">
        <v>3886</v>
      </c>
      <c r="J416" s="25">
        <v>0.96886300000000003</v>
      </c>
      <c r="K416" s="26">
        <v>483.99352799999951</v>
      </c>
      <c r="L416" s="26">
        <v>35952</v>
      </c>
      <c r="M416" s="26">
        <v>9</v>
      </c>
      <c r="N416" s="26">
        <v>8</v>
      </c>
      <c r="O416" s="27">
        <v>17</v>
      </c>
      <c r="P416" s="19">
        <v>22</v>
      </c>
      <c r="Q416" s="19">
        <v>4</v>
      </c>
      <c r="R416" s="19" t="s">
        <v>431</v>
      </c>
      <c r="S416" s="26">
        <v>0</v>
      </c>
      <c r="T416" s="28">
        <v>28</v>
      </c>
      <c r="U416" s="19" t="s">
        <v>139</v>
      </c>
      <c r="V416" s="19">
        <v>0</v>
      </c>
      <c r="X416" t="b">
        <f>VLOOKUP(B416,'M10B Order'!B:F,5,FALSE)=W416</f>
        <v>1</v>
      </c>
    </row>
    <row r="417" spans="1:24" x14ac:dyDescent="0.2">
      <c r="A417" s="19">
        <v>554737785</v>
      </c>
      <c r="B417" s="19" t="s">
        <v>188</v>
      </c>
      <c r="C417" s="19" t="s">
        <v>187</v>
      </c>
      <c r="D417" s="19" t="s">
        <v>369</v>
      </c>
      <c r="E417" s="19" t="s">
        <v>1777</v>
      </c>
      <c r="F417" s="19">
        <v>508804192</v>
      </c>
      <c r="G417" s="19">
        <v>4</v>
      </c>
      <c r="H417" s="19">
        <v>24</v>
      </c>
      <c r="I417" s="19">
        <v>1276</v>
      </c>
      <c r="J417" s="25">
        <v>0.93652000000000002</v>
      </c>
      <c r="K417" s="26">
        <v>324.00191999999993</v>
      </c>
      <c r="L417" s="26">
        <v>16656</v>
      </c>
      <c r="M417" s="26">
        <v>9</v>
      </c>
      <c r="N417" s="26">
        <v>8</v>
      </c>
      <c r="O417" s="27">
        <v>17</v>
      </c>
      <c r="P417" s="19">
        <v>22</v>
      </c>
      <c r="Q417" s="19">
        <v>4</v>
      </c>
      <c r="R417" s="19" t="s">
        <v>431</v>
      </c>
      <c r="S417" s="26">
        <v>0</v>
      </c>
      <c r="T417" s="28" t="s">
        <v>1933</v>
      </c>
      <c r="U417" s="19" t="s">
        <v>161</v>
      </c>
      <c r="V417" s="19">
        <v>0</v>
      </c>
      <c r="X417" t="b">
        <f>VLOOKUP(B417,'M10B Order'!B:F,5,FALSE)=W417</f>
        <v>1</v>
      </c>
    </row>
    <row r="418" spans="1:24" x14ac:dyDescent="0.2">
      <c r="A418" s="19">
        <v>554737851</v>
      </c>
      <c r="B418" s="19" t="s">
        <v>93</v>
      </c>
      <c r="C418" s="19" t="s">
        <v>92</v>
      </c>
      <c r="D418" s="19" t="s">
        <v>369</v>
      </c>
      <c r="E418" s="19" t="s">
        <v>1777</v>
      </c>
      <c r="F418" s="19">
        <v>508804192</v>
      </c>
      <c r="G418" s="19">
        <v>4</v>
      </c>
      <c r="H418" s="19">
        <v>24</v>
      </c>
      <c r="I418" s="19">
        <v>3887</v>
      </c>
      <c r="J418" s="25">
        <v>0.97504500000000005</v>
      </c>
      <c r="K418" s="26">
        <v>388.0003399999992</v>
      </c>
      <c r="L418" s="26">
        <v>35112</v>
      </c>
      <c r="M418" s="26">
        <v>9</v>
      </c>
      <c r="N418" s="26">
        <v>8</v>
      </c>
      <c r="O418" s="27">
        <v>17</v>
      </c>
      <c r="P418" s="19">
        <v>22</v>
      </c>
      <c r="Q418" s="19">
        <v>4</v>
      </c>
      <c r="R418" s="19" t="s">
        <v>431</v>
      </c>
      <c r="S418" s="26">
        <v>0</v>
      </c>
      <c r="T418" s="28">
        <v>30</v>
      </c>
      <c r="U418" s="19" t="s">
        <v>1040</v>
      </c>
      <c r="V418" s="19" t="s">
        <v>431</v>
      </c>
      <c r="X418" t="b">
        <f>VLOOKUP(B418,'M10B Order'!B:F,5,FALSE)=W418</f>
        <v>1</v>
      </c>
    </row>
    <row r="419" spans="1:24" x14ac:dyDescent="0.2">
      <c r="A419" s="19">
        <v>554737858</v>
      </c>
      <c r="B419" s="19" t="s">
        <v>37</v>
      </c>
      <c r="C419" s="19" t="s">
        <v>36</v>
      </c>
      <c r="D419" s="19" t="s">
        <v>369</v>
      </c>
      <c r="E419" s="19" t="s">
        <v>1777</v>
      </c>
      <c r="F419" s="19">
        <v>508804192</v>
      </c>
      <c r="G419" s="19">
        <v>4</v>
      </c>
      <c r="H419" s="19">
        <v>24</v>
      </c>
      <c r="I419" s="19">
        <v>3887</v>
      </c>
      <c r="J419" s="25">
        <v>0.96115300000000004</v>
      </c>
      <c r="K419" s="26">
        <v>603.99315599999943</v>
      </c>
      <c r="L419" s="26">
        <v>43464</v>
      </c>
      <c r="M419" s="26">
        <v>9</v>
      </c>
      <c r="N419" s="26">
        <v>8</v>
      </c>
      <c r="O419" s="27">
        <v>17</v>
      </c>
      <c r="P419" s="19">
        <v>22</v>
      </c>
      <c r="Q419" s="19">
        <v>4</v>
      </c>
      <c r="R419" s="19" t="s">
        <v>431</v>
      </c>
      <c r="S419" s="26">
        <v>0</v>
      </c>
      <c r="T419" s="28">
        <v>28</v>
      </c>
      <c r="U419" s="19" t="s">
        <v>7</v>
      </c>
      <c r="V419" s="19">
        <v>0</v>
      </c>
      <c r="X419" t="b">
        <f>VLOOKUP(B419,'M10B Order'!B:F,5,FALSE)=W419</f>
        <v>1</v>
      </c>
    </row>
    <row r="420" spans="1:24" x14ac:dyDescent="0.2">
      <c r="A420" s="19">
        <v>554737868</v>
      </c>
      <c r="B420" s="19" t="s">
        <v>314</v>
      </c>
      <c r="C420" s="19" t="s">
        <v>313</v>
      </c>
      <c r="D420" s="19" t="s">
        <v>369</v>
      </c>
      <c r="E420" s="19" t="s">
        <v>1777</v>
      </c>
      <c r="F420" s="19">
        <v>508804192</v>
      </c>
      <c r="G420" s="19">
        <v>4</v>
      </c>
      <c r="H420" s="19">
        <v>24</v>
      </c>
      <c r="I420" s="19">
        <v>1232</v>
      </c>
      <c r="J420" s="25">
        <v>0.93506500000000004</v>
      </c>
      <c r="K420" s="26">
        <v>319.99967999999984</v>
      </c>
      <c r="L420" s="26">
        <v>12696</v>
      </c>
      <c r="M420" s="26">
        <v>9</v>
      </c>
      <c r="N420" s="26">
        <v>8</v>
      </c>
      <c r="O420" s="27">
        <v>17</v>
      </c>
      <c r="P420" s="19">
        <v>22</v>
      </c>
      <c r="Q420" s="19">
        <v>4</v>
      </c>
      <c r="R420" s="19" t="s">
        <v>431</v>
      </c>
      <c r="S420" s="26">
        <v>0</v>
      </c>
      <c r="T420" s="28" t="s">
        <v>1933</v>
      </c>
      <c r="U420" s="19" t="s">
        <v>257</v>
      </c>
      <c r="V420" s="19">
        <v>0</v>
      </c>
      <c r="X420" t="b">
        <f>VLOOKUP(B420,'M10B Order'!B:F,5,FALSE)=W420</f>
        <v>1</v>
      </c>
    </row>
    <row r="421" spans="1:24" x14ac:dyDescent="0.2">
      <c r="A421" s="19">
        <v>554737893</v>
      </c>
      <c r="B421" s="19" t="s">
        <v>49</v>
      </c>
      <c r="C421" s="19" t="s">
        <v>48</v>
      </c>
      <c r="D421" s="19" t="s">
        <v>369</v>
      </c>
      <c r="E421" s="19" t="s">
        <v>1777</v>
      </c>
      <c r="F421" s="19">
        <v>508804192</v>
      </c>
      <c r="G421" s="19">
        <v>4</v>
      </c>
      <c r="H421" s="19">
        <v>24</v>
      </c>
      <c r="I421" s="19">
        <v>1275</v>
      </c>
      <c r="J421" s="25">
        <v>0.95294100000000004</v>
      </c>
      <c r="K421" s="26">
        <v>240.0008999999998</v>
      </c>
      <c r="L421" s="26">
        <v>10344</v>
      </c>
      <c r="M421" s="26">
        <v>9</v>
      </c>
      <c r="N421" s="26">
        <v>8</v>
      </c>
      <c r="O421" s="27">
        <v>17</v>
      </c>
      <c r="P421" s="19">
        <v>22</v>
      </c>
      <c r="Q421" s="19">
        <v>4</v>
      </c>
      <c r="R421" s="19" t="s">
        <v>431</v>
      </c>
      <c r="S421" s="26">
        <v>0</v>
      </c>
      <c r="T421" s="28">
        <v>35</v>
      </c>
      <c r="U421" s="19" t="s">
        <v>1040</v>
      </c>
      <c r="V421" s="19" t="s">
        <v>431</v>
      </c>
      <c r="X421" t="b">
        <f>VLOOKUP(B421,'M10B Order'!B:F,5,FALSE)=W421</f>
        <v>1</v>
      </c>
    </row>
    <row r="422" spans="1:24" x14ac:dyDescent="0.2">
      <c r="A422" s="19">
        <v>554737895</v>
      </c>
      <c r="B422" s="19" t="s">
        <v>33</v>
      </c>
      <c r="C422" s="19" t="s">
        <v>32</v>
      </c>
      <c r="D422" s="19" t="s">
        <v>369</v>
      </c>
      <c r="E422" s="19" t="s">
        <v>1777</v>
      </c>
      <c r="F422" s="19">
        <v>508804192</v>
      </c>
      <c r="G422" s="19">
        <v>4</v>
      </c>
      <c r="H422" s="19">
        <v>24</v>
      </c>
      <c r="I422" s="19">
        <v>3887</v>
      </c>
      <c r="J422" s="25">
        <v>0.95755100000000004</v>
      </c>
      <c r="K422" s="26">
        <v>659.99705199999937</v>
      </c>
      <c r="L422" s="26">
        <v>104112</v>
      </c>
      <c r="M422" s="26">
        <v>9</v>
      </c>
      <c r="N422" s="26">
        <v>8</v>
      </c>
      <c r="O422" s="27">
        <v>17</v>
      </c>
      <c r="P422" s="19">
        <v>22</v>
      </c>
      <c r="Q422" s="19">
        <v>4</v>
      </c>
      <c r="R422" s="19" t="s">
        <v>431</v>
      </c>
      <c r="S422" s="26">
        <v>0</v>
      </c>
      <c r="T422" s="28">
        <v>35</v>
      </c>
      <c r="U422" s="19" t="s">
        <v>229</v>
      </c>
      <c r="V422" s="19">
        <v>3486.2613440000055</v>
      </c>
      <c r="X422" t="b">
        <f>VLOOKUP(B422,'M10B Order'!B:F,5,FALSE)=W422</f>
        <v>1</v>
      </c>
    </row>
    <row r="423" spans="1:24" x14ac:dyDescent="0.2">
      <c r="A423" s="19">
        <v>554737897</v>
      </c>
      <c r="B423" s="19" t="s">
        <v>109</v>
      </c>
      <c r="C423" s="19" t="s">
        <v>108</v>
      </c>
      <c r="D423" s="19" t="s">
        <v>369</v>
      </c>
      <c r="E423" s="19" t="s">
        <v>1777</v>
      </c>
      <c r="F423" s="19">
        <v>508804192</v>
      </c>
      <c r="G423" s="19">
        <v>4</v>
      </c>
      <c r="H423" s="19">
        <v>24</v>
      </c>
      <c r="I423" s="19">
        <v>3886</v>
      </c>
      <c r="J423" s="25">
        <v>0.94338699999999998</v>
      </c>
      <c r="K423" s="26">
        <v>879.99247200000036</v>
      </c>
      <c r="L423" s="26">
        <v>53688</v>
      </c>
      <c r="M423" s="26">
        <v>9</v>
      </c>
      <c r="N423" s="26">
        <v>8</v>
      </c>
      <c r="O423" s="27">
        <v>17</v>
      </c>
      <c r="P423" s="19">
        <v>22</v>
      </c>
      <c r="Q423" s="19">
        <v>4</v>
      </c>
      <c r="R423" s="19" t="s">
        <v>431</v>
      </c>
      <c r="S423" s="26">
        <v>0</v>
      </c>
      <c r="T423" s="28">
        <v>31</v>
      </c>
      <c r="U423" s="19" t="s">
        <v>13</v>
      </c>
      <c r="V423" s="19">
        <v>0</v>
      </c>
      <c r="X423" t="b">
        <f>VLOOKUP(B423,'M10B Order'!B:F,5,FALSE)=W423</f>
        <v>1</v>
      </c>
    </row>
    <row r="424" spans="1:24" x14ac:dyDescent="0.2">
      <c r="A424" s="19">
        <v>554737899</v>
      </c>
      <c r="B424" s="19" t="s">
        <v>45</v>
      </c>
      <c r="C424" s="19" t="s">
        <v>44</v>
      </c>
      <c r="D424" s="19" t="s">
        <v>369</v>
      </c>
      <c r="E424" s="19" t="s">
        <v>1777</v>
      </c>
      <c r="F424" s="19">
        <v>508804192</v>
      </c>
      <c r="G424" s="19">
        <v>4</v>
      </c>
      <c r="H424" s="19">
        <v>24</v>
      </c>
      <c r="I424" s="19">
        <v>3886</v>
      </c>
      <c r="J424" s="25">
        <v>0.96500300000000006</v>
      </c>
      <c r="K424" s="26">
        <v>543.99336799999912</v>
      </c>
      <c r="L424" s="26">
        <v>51720</v>
      </c>
      <c r="M424" s="26">
        <v>9</v>
      </c>
      <c r="N424" s="26">
        <v>8</v>
      </c>
      <c r="O424" s="27">
        <v>17</v>
      </c>
      <c r="P424" s="19">
        <v>22</v>
      </c>
      <c r="Q424" s="19">
        <v>4</v>
      </c>
      <c r="R424" s="19" t="s">
        <v>431</v>
      </c>
      <c r="S424" s="26">
        <v>0</v>
      </c>
      <c r="T424" s="28">
        <v>27</v>
      </c>
      <c r="U424" s="19" t="s">
        <v>97</v>
      </c>
      <c r="V424" s="19">
        <v>0</v>
      </c>
      <c r="X424" t="b">
        <f>VLOOKUP(B424,'M10B Order'!B:F,5,FALSE)=W424</f>
        <v>1</v>
      </c>
    </row>
    <row r="425" spans="1:24" x14ac:dyDescent="0.2">
      <c r="A425" s="19">
        <v>554737910</v>
      </c>
      <c r="B425" s="19" t="s">
        <v>63</v>
      </c>
      <c r="C425" s="19" t="s">
        <v>62</v>
      </c>
      <c r="D425" s="19" t="s">
        <v>369</v>
      </c>
      <c r="E425" s="19" t="s">
        <v>1777</v>
      </c>
      <c r="F425" s="19">
        <v>508804192</v>
      </c>
      <c r="G425" s="19">
        <v>4</v>
      </c>
      <c r="H425" s="19">
        <v>24</v>
      </c>
      <c r="I425" s="19">
        <v>1276</v>
      </c>
      <c r="J425" s="25">
        <v>0.92319700000000005</v>
      </c>
      <c r="K425" s="26">
        <v>392.0025119999998</v>
      </c>
      <c r="L425" s="26">
        <v>23880</v>
      </c>
      <c r="M425" s="26">
        <v>9</v>
      </c>
      <c r="N425" s="26">
        <v>8</v>
      </c>
      <c r="O425" s="27">
        <v>17</v>
      </c>
      <c r="P425" s="19">
        <v>22</v>
      </c>
      <c r="Q425" s="19">
        <v>4</v>
      </c>
      <c r="R425" s="19" t="s">
        <v>431</v>
      </c>
      <c r="S425" s="26">
        <v>0</v>
      </c>
      <c r="T425" s="28">
        <v>30</v>
      </c>
      <c r="U425" s="19" t="s">
        <v>135</v>
      </c>
      <c r="V425" s="19">
        <v>0</v>
      </c>
      <c r="X425" t="b">
        <f>VLOOKUP(B425,'M10B Order'!B:F,5,FALSE)=W425</f>
        <v>1</v>
      </c>
    </row>
    <row r="426" spans="1:24" x14ac:dyDescent="0.2">
      <c r="A426" s="19">
        <v>554737934</v>
      </c>
      <c r="B426" s="19" t="s">
        <v>77</v>
      </c>
      <c r="C426" s="19" t="s">
        <v>76</v>
      </c>
      <c r="D426" s="19" t="s">
        <v>369</v>
      </c>
      <c r="E426" s="19" t="s">
        <v>1777</v>
      </c>
      <c r="F426" s="19">
        <v>508804192</v>
      </c>
      <c r="G426" s="19">
        <v>4</v>
      </c>
      <c r="H426" s="19">
        <v>24</v>
      </c>
      <c r="I426" s="19">
        <v>1247</v>
      </c>
      <c r="J426" s="25">
        <v>0.93905400000000006</v>
      </c>
      <c r="K426" s="26">
        <v>303.99864799999972</v>
      </c>
      <c r="L426" s="26">
        <v>23208</v>
      </c>
      <c r="M426" s="26">
        <v>9</v>
      </c>
      <c r="N426" s="26">
        <v>8</v>
      </c>
      <c r="O426" s="27">
        <v>17</v>
      </c>
      <c r="P426" s="19">
        <v>22</v>
      </c>
      <c r="Q426" s="19">
        <v>4</v>
      </c>
      <c r="R426" s="19" t="s">
        <v>431</v>
      </c>
      <c r="S426" s="26">
        <v>0</v>
      </c>
      <c r="T426" s="28" t="s">
        <v>1933</v>
      </c>
      <c r="U426" s="19" t="s">
        <v>1040</v>
      </c>
      <c r="V426" s="19" t="s">
        <v>431</v>
      </c>
      <c r="X426" t="b">
        <f>VLOOKUP(B426,'M10B Order'!B:F,5,FALSE)=W426</f>
        <v>1</v>
      </c>
    </row>
    <row r="427" spans="1:24" x14ac:dyDescent="0.2">
      <c r="A427" s="19">
        <v>554737950</v>
      </c>
      <c r="B427" s="19" t="s">
        <v>39</v>
      </c>
      <c r="C427" s="19" t="s">
        <v>38</v>
      </c>
      <c r="D427" s="19" t="s">
        <v>369</v>
      </c>
      <c r="E427" s="19" t="s">
        <v>1777</v>
      </c>
      <c r="F427" s="19">
        <v>508804192</v>
      </c>
      <c r="G427" s="19">
        <v>4</v>
      </c>
      <c r="H427" s="19">
        <v>24</v>
      </c>
      <c r="I427" s="19">
        <v>1276</v>
      </c>
      <c r="J427" s="25">
        <v>0.92711600000000005</v>
      </c>
      <c r="K427" s="26">
        <v>371.99993599999976</v>
      </c>
      <c r="L427" s="26">
        <v>19440</v>
      </c>
      <c r="M427" s="26">
        <v>9</v>
      </c>
      <c r="N427" s="26">
        <v>8</v>
      </c>
      <c r="O427" s="27">
        <v>17</v>
      </c>
      <c r="P427" s="19">
        <v>22</v>
      </c>
      <c r="Q427" s="19">
        <v>4</v>
      </c>
      <c r="R427" s="19" t="s">
        <v>431</v>
      </c>
      <c r="S427" s="26">
        <v>0</v>
      </c>
      <c r="T427" s="28">
        <v>32</v>
      </c>
      <c r="U427" s="19" t="s">
        <v>99</v>
      </c>
      <c r="V427" s="19">
        <v>0</v>
      </c>
      <c r="X427" t="b">
        <f>VLOOKUP(B427,'M10B Order'!B:F,5,FALSE)=W427</f>
        <v>1</v>
      </c>
    </row>
    <row r="428" spans="1:24" x14ac:dyDescent="0.2">
      <c r="A428" s="19">
        <v>554738014</v>
      </c>
      <c r="B428" s="19" t="s">
        <v>259</v>
      </c>
      <c r="C428" s="19" t="s">
        <v>258</v>
      </c>
      <c r="D428" s="19" t="s">
        <v>369</v>
      </c>
      <c r="E428" s="19" t="s">
        <v>1777</v>
      </c>
      <c r="F428" s="19">
        <v>508804192</v>
      </c>
      <c r="G428" s="19">
        <v>4</v>
      </c>
      <c r="H428" s="19">
        <v>24</v>
      </c>
      <c r="I428" s="19">
        <v>3887</v>
      </c>
      <c r="J428" s="25">
        <v>0.96115300000000004</v>
      </c>
      <c r="K428" s="26">
        <v>603.99315599999943</v>
      </c>
      <c r="L428" s="26">
        <v>30600</v>
      </c>
      <c r="M428" s="26">
        <v>9</v>
      </c>
      <c r="N428" s="26">
        <v>8</v>
      </c>
      <c r="O428" s="27">
        <v>17</v>
      </c>
      <c r="P428" s="19">
        <v>22</v>
      </c>
      <c r="Q428" s="19">
        <v>4</v>
      </c>
      <c r="R428" s="19" t="s">
        <v>431</v>
      </c>
      <c r="S428" s="26">
        <v>0</v>
      </c>
      <c r="T428" s="28">
        <v>28</v>
      </c>
      <c r="U428" s="19" t="s">
        <v>288</v>
      </c>
      <c r="V428" s="19">
        <v>0</v>
      </c>
      <c r="X428" t="b">
        <f>VLOOKUP(B428,'M10B Order'!B:F,5,FALSE)=W428</f>
        <v>1</v>
      </c>
    </row>
    <row r="429" spans="1:24" x14ac:dyDescent="0.2">
      <c r="A429" s="19">
        <v>554786360</v>
      </c>
      <c r="B429" s="19" t="s">
        <v>69</v>
      </c>
      <c r="C429" s="19" t="s">
        <v>68</v>
      </c>
      <c r="D429" s="19" t="s">
        <v>369</v>
      </c>
      <c r="E429" s="19" t="s">
        <v>1777</v>
      </c>
      <c r="F429" s="19">
        <v>508804192</v>
      </c>
      <c r="G429" s="19">
        <v>4</v>
      </c>
      <c r="H429" s="19">
        <v>24</v>
      </c>
      <c r="I429" s="19">
        <v>1277</v>
      </c>
      <c r="J429" s="25">
        <v>0.90368099999999996</v>
      </c>
      <c r="K429" s="26">
        <v>491.99745200000024</v>
      </c>
      <c r="L429" s="26">
        <v>33984</v>
      </c>
      <c r="M429" s="26">
        <v>9</v>
      </c>
      <c r="N429" s="26">
        <v>8</v>
      </c>
      <c r="O429" s="27">
        <v>17</v>
      </c>
      <c r="P429" s="19">
        <v>22</v>
      </c>
      <c r="Q429" s="19">
        <v>4</v>
      </c>
      <c r="R429" s="19" t="s">
        <v>431</v>
      </c>
      <c r="S429" s="26">
        <v>0</v>
      </c>
      <c r="T429" s="28" t="s">
        <v>1933</v>
      </c>
      <c r="U429" s="19" t="s">
        <v>1040</v>
      </c>
      <c r="V429" s="19" t="s">
        <v>431</v>
      </c>
      <c r="X429" t="b">
        <f>VLOOKUP(B429,'M10B Order'!B:F,5,FALSE)=W429</f>
        <v>1</v>
      </c>
    </row>
    <row r="430" spans="1:24" x14ac:dyDescent="0.2">
      <c r="A430" s="19">
        <v>554738033</v>
      </c>
      <c r="B430" s="19" t="s">
        <v>53</v>
      </c>
      <c r="C430" s="19" t="s">
        <v>52</v>
      </c>
      <c r="D430" s="19" t="s">
        <v>369</v>
      </c>
      <c r="E430" s="19" t="s">
        <v>1777</v>
      </c>
      <c r="F430" s="19">
        <v>508804192</v>
      </c>
      <c r="G430" s="19">
        <v>4</v>
      </c>
      <c r="H430" s="19">
        <v>24</v>
      </c>
      <c r="I430" s="19">
        <v>3887</v>
      </c>
      <c r="J430" s="25">
        <v>0.95343500000000003</v>
      </c>
      <c r="K430" s="26">
        <v>723.99261999999953</v>
      </c>
      <c r="L430" s="26">
        <v>140136</v>
      </c>
      <c r="M430" s="26">
        <v>9</v>
      </c>
      <c r="N430" s="26">
        <v>8</v>
      </c>
      <c r="O430" s="27">
        <v>17</v>
      </c>
      <c r="P430" s="19">
        <v>22</v>
      </c>
      <c r="Q430" s="19">
        <v>4</v>
      </c>
      <c r="R430" s="19" t="s">
        <v>431</v>
      </c>
      <c r="S430" s="26">
        <v>0</v>
      </c>
      <c r="T430" s="28">
        <v>29</v>
      </c>
      <c r="U430" s="19" t="s">
        <v>5</v>
      </c>
      <c r="V430" s="19">
        <v>17798.050063999995</v>
      </c>
      <c r="X430" t="b">
        <f>VLOOKUP(B430,'M10B Order'!B:F,5,FALSE)=W430</f>
        <v>1</v>
      </c>
    </row>
    <row r="431" spans="1:24" x14ac:dyDescent="0.2">
      <c r="A431" s="19">
        <v>554738051</v>
      </c>
      <c r="B431" s="19" t="s">
        <v>51</v>
      </c>
      <c r="C431" s="19" t="s">
        <v>50</v>
      </c>
      <c r="D431" s="19" t="s">
        <v>369</v>
      </c>
      <c r="E431" s="19" t="s">
        <v>1777</v>
      </c>
      <c r="F431" s="19">
        <v>508804192</v>
      </c>
      <c r="G431" s="19">
        <v>4</v>
      </c>
      <c r="H431" s="19">
        <v>24</v>
      </c>
      <c r="I431" s="19">
        <v>3887</v>
      </c>
      <c r="J431" s="25">
        <v>0.97067099999999995</v>
      </c>
      <c r="K431" s="26">
        <v>456.00729200000075</v>
      </c>
      <c r="L431" s="26">
        <v>75096</v>
      </c>
      <c r="M431" s="26">
        <v>9</v>
      </c>
      <c r="N431" s="26">
        <v>8</v>
      </c>
      <c r="O431" s="27">
        <v>17</v>
      </c>
      <c r="P431" s="19">
        <v>22</v>
      </c>
      <c r="Q431" s="19">
        <v>4</v>
      </c>
      <c r="R431" s="19" t="s">
        <v>431</v>
      </c>
      <c r="S431" s="26">
        <v>0</v>
      </c>
      <c r="T431" s="28">
        <v>30</v>
      </c>
      <c r="U431" s="19" t="s">
        <v>11</v>
      </c>
      <c r="V431" s="19">
        <v>0</v>
      </c>
      <c r="X431" t="b">
        <f>VLOOKUP(B431,'M10B Order'!B:F,5,FALSE)=W431</f>
        <v>1</v>
      </c>
    </row>
    <row r="432" spans="1:24" x14ac:dyDescent="0.2">
      <c r="A432" s="19">
        <v>554738346</v>
      </c>
      <c r="B432" s="19" t="s">
        <v>75</v>
      </c>
      <c r="C432" s="19" t="s">
        <v>74</v>
      </c>
      <c r="D432" s="19" t="s">
        <v>369</v>
      </c>
      <c r="E432" s="19" t="s">
        <v>1777</v>
      </c>
      <c r="F432" s="19">
        <v>508804192</v>
      </c>
      <c r="G432" s="19">
        <v>4</v>
      </c>
      <c r="H432" s="19">
        <v>24</v>
      </c>
      <c r="I432" s="19">
        <v>1276</v>
      </c>
      <c r="J432" s="25">
        <v>0.92868300000000004</v>
      </c>
      <c r="K432" s="26">
        <v>364.00196799999981</v>
      </c>
      <c r="L432" s="26">
        <v>12144</v>
      </c>
      <c r="M432" s="26">
        <v>9</v>
      </c>
      <c r="N432" s="26">
        <v>8</v>
      </c>
      <c r="O432" s="27">
        <v>17</v>
      </c>
      <c r="P432" s="19">
        <v>22</v>
      </c>
      <c r="Q432" s="19">
        <v>4</v>
      </c>
      <c r="R432" s="19" t="s">
        <v>431</v>
      </c>
      <c r="S432" s="26">
        <v>0</v>
      </c>
      <c r="T432" s="28" t="s">
        <v>1933</v>
      </c>
      <c r="U432" s="19" t="s">
        <v>95</v>
      </c>
      <c r="V432" s="19">
        <v>0</v>
      </c>
      <c r="X432" t="b">
        <f>VLOOKUP(B432,'M10B Order'!B:F,5,FALSE)=W432</f>
        <v>1</v>
      </c>
    </row>
    <row r="433" spans="1:24" x14ac:dyDescent="0.2">
      <c r="A433" s="19">
        <v>554738349</v>
      </c>
      <c r="B433" s="19" t="s">
        <v>284</v>
      </c>
      <c r="C433" s="19" t="s">
        <v>283</v>
      </c>
      <c r="D433" s="19" t="s">
        <v>369</v>
      </c>
      <c r="E433" s="19" t="s">
        <v>1777</v>
      </c>
      <c r="F433" s="19">
        <v>508804192</v>
      </c>
      <c r="G433" s="19">
        <v>4</v>
      </c>
      <c r="H433" s="19">
        <v>24</v>
      </c>
      <c r="I433" s="19">
        <v>1276</v>
      </c>
      <c r="J433" s="25">
        <v>0.92476499999999995</v>
      </c>
      <c r="K433" s="26">
        <v>383.99944000000028</v>
      </c>
      <c r="L433" s="26">
        <v>41232</v>
      </c>
      <c r="M433" s="26">
        <v>9</v>
      </c>
      <c r="N433" s="26">
        <v>8</v>
      </c>
      <c r="O433" s="27">
        <v>17</v>
      </c>
      <c r="P433" s="19">
        <v>22</v>
      </c>
      <c r="Q433" s="19">
        <v>4</v>
      </c>
      <c r="R433" s="19" t="s">
        <v>431</v>
      </c>
      <c r="S433" s="26">
        <v>0</v>
      </c>
      <c r="T433" s="28" t="s">
        <v>1933</v>
      </c>
      <c r="U433" s="19" t="s">
        <v>145</v>
      </c>
      <c r="V433" s="19">
        <v>0</v>
      </c>
      <c r="X433" t="b">
        <f>VLOOKUP(B433,'M10B Order'!B:F,5,FALSE)=W433</f>
        <v>1</v>
      </c>
    </row>
    <row r="434" spans="1:24" x14ac:dyDescent="0.2">
      <c r="A434" s="19">
        <v>554738341</v>
      </c>
      <c r="B434" s="19" t="s">
        <v>55</v>
      </c>
      <c r="C434" s="19" t="s">
        <v>54</v>
      </c>
      <c r="D434" s="19" t="s">
        <v>369</v>
      </c>
      <c r="E434" s="19" t="s">
        <v>1777</v>
      </c>
      <c r="F434" s="19">
        <v>508804192</v>
      </c>
      <c r="G434" s="19">
        <v>4</v>
      </c>
      <c r="H434" s="19">
        <v>24</v>
      </c>
      <c r="I434" s="19">
        <v>3887</v>
      </c>
      <c r="J434" s="25">
        <v>0.95394900000000005</v>
      </c>
      <c r="K434" s="26">
        <v>716.00094799999931</v>
      </c>
      <c r="L434" s="26">
        <v>133680</v>
      </c>
      <c r="M434" s="26">
        <v>9</v>
      </c>
      <c r="N434" s="26">
        <v>8</v>
      </c>
      <c r="O434" s="27">
        <v>17</v>
      </c>
      <c r="P434" s="19">
        <v>22</v>
      </c>
      <c r="Q434" s="19">
        <v>4</v>
      </c>
      <c r="R434" s="19" t="s">
        <v>431</v>
      </c>
      <c r="S434" s="26">
        <v>0</v>
      </c>
      <c r="T434" s="28">
        <v>30</v>
      </c>
      <c r="U434" s="19" t="s">
        <v>1040</v>
      </c>
      <c r="V434" s="19" t="s">
        <v>431</v>
      </c>
      <c r="X434" t="b">
        <f>VLOOKUP(B434,'M10B Order'!B:F,5,FALSE)=W434</f>
        <v>1</v>
      </c>
    </row>
    <row r="435" spans="1:24" x14ac:dyDescent="0.2">
      <c r="A435" s="19">
        <v>554738340</v>
      </c>
      <c r="B435" s="19" t="s">
        <v>61</v>
      </c>
      <c r="C435" s="19" t="s">
        <v>60</v>
      </c>
      <c r="D435" s="19" t="s">
        <v>369</v>
      </c>
      <c r="E435" s="19" t="s">
        <v>1777</v>
      </c>
      <c r="F435" s="19">
        <v>508804192</v>
      </c>
      <c r="G435" s="19">
        <v>4</v>
      </c>
      <c r="H435" s="19">
        <v>24</v>
      </c>
      <c r="I435" s="19">
        <v>3887</v>
      </c>
      <c r="J435" s="25">
        <v>0.959866</v>
      </c>
      <c r="K435" s="26">
        <v>624.00343200000009</v>
      </c>
      <c r="L435" s="26">
        <v>56688</v>
      </c>
      <c r="M435" s="26">
        <v>9</v>
      </c>
      <c r="N435" s="26">
        <v>8</v>
      </c>
      <c r="O435" s="27">
        <v>17</v>
      </c>
      <c r="P435" s="19">
        <v>22</v>
      </c>
      <c r="Q435" s="19">
        <v>4</v>
      </c>
      <c r="R435" s="19" t="s">
        <v>431</v>
      </c>
      <c r="S435" s="26">
        <v>0</v>
      </c>
      <c r="T435" s="28">
        <v>29</v>
      </c>
      <c r="U435" s="19" t="s">
        <v>350</v>
      </c>
      <c r="V435" s="19">
        <v>0</v>
      </c>
      <c r="X435" t="b">
        <f>VLOOKUP(B435,'M10B Order'!B:F,5,FALSE)=W435</f>
        <v>1</v>
      </c>
    </row>
    <row r="436" spans="1:24" x14ac:dyDescent="0.2">
      <c r="A436" s="19">
        <v>554738337</v>
      </c>
      <c r="B436" s="19" t="s">
        <v>43</v>
      </c>
      <c r="C436" s="19" t="s">
        <v>42</v>
      </c>
      <c r="D436" s="19" t="s">
        <v>369</v>
      </c>
      <c r="E436" s="19" t="s">
        <v>1777</v>
      </c>
      <c r="F436" s="19">
        <v>508804192</v>
      </c>
      <c r="G436" s="19">
        <v>4</v>
      </c>
      <c r="H436" s="19">
        <v>24</v>
      </c>
      <c r="I436" s="19">
        <v>1277</v>
      </c>
      <c r="J436" s="25">
        <v>0.94361799999999996</v>
      </c>
      <c r="K436" s="26">
        <v>287.99925600000023</v>
      </c>
      <c r="L436" s="26">
        <v>68424</v>
      </c>
      <c r="M436" s="26">
        <v>9</v>
      </c>
      <c r="N436" s="26">
        <v>8</v>
      </c>
      <c r="O436" s="27">
        <v>17</v>
      </c>
      <c r="P436" s="19">
        <v>22</v>
      </c>
      <c r="Q436" s="19">
        <v>4</v>
      </c>
      <c r="R436" s="19" t="s">
        <v>431</v>
      </c>
      <c r="S436" s="26">
        <v>0</v>
      </c>
      <c r="T436" s="28" t="s">
        <v>1933</v>
      </c>
      <c r="U436" s="19" t="s">
        <v>1040</v>
      </c>
      <c r="V436" s="19" t="s">
        <v>431</v>
      </c>
      <c r="X436" t="b">
        <f>VLOOKUP(B436,'M10B Order'!B:F,5,FALSE)=W436</f>
        <v>1</v>
      </c>
    </row>
    <row r="437" spans="1:24" x14ac:dyDescent="0.2">
      <c r="A437" s="19">
        <v>554738322</v>
      </c>
      <c r="B437" s="19" t="s">
        <v>204</v>
      </c>
      <c r="C437" s="19" t="s">
        <v>203</v>
      </c>
      <c r="D437" s="19" t="s">
        <v>369</v>
      </c>
      <c r="E437" s="19" t="s">
        <v>1777</v>
      </c>
      <c r="F437" s="19">
        <v>508804192</v>
      </c>
      <c r="G437" s="19">
        <v>4</v>
      </c>
      <c r="H437" s="19">
        <v>24</v>
      </c>
      <c r="I437" s="19">
        <v>1275</v>
      </c>
      <c r="J437" s="25">
        <v>0.912941</v>
      </c>
      <c r="K437" s="26">
        <v>444.0009</v>
      </c>
      <c r="L437" s="26">
        <v>30432</v>
      </c>
      <c r="M437" s="26">
        <v>9</v>
      </c>
      <c r="N437" s="26">
        <v>8</v>
      </c>
      <c r="O437" s="27">
        <v>17</v>
      </c>
      <c r="P437" s="19">
        <v>22</v>
      </c>
      <c r="Q437" s="19">
        <v>4</v>
      </c>
      <c r="R437" s="19" t="s">
        <v>431</v>
      </c>
      <c r="S437" s="26">
        <v>0</v>
      </c>
      <c r="T437" s="28" t="s">
        <v>1933</v>
      </c>
      <c r="U437" s="19" t="s">
        <v>227</v>
      </c>
      <c r="V437" s="19">
        <v>0</v>
      </c>
      <c r="X437" t="b">
        <f>VLOOKUP(B437,'M10B Order'!B:F,5,FALSE)=W437</f>
        <v>1</v>
      </c>
    </row>
    <row r="438" spans="1:24" x14ac:dyDescent="0.2">
      <c r="A438" s="19">
        <v>573626654</v>
      </c>
      <c r="B438" s="19" t="s">
        <v>790</v>
      </c>
      <c r="C438" s="19" t="s">
        <v>791</v>
      </c>
      <c r="D438" s="19" t="s">
        <v>369</v>
      </c>
      <c r="E438" s="19" t="s">
        <v>1777</v>
      </c>
      <c r="F438" s="19">
        <v>508804192</v>
      </c>
      <c r="G438" s="19">
        <v>4</v>
      </c>
      <c r="H438" s="19">
        <v>24</v>
      </c>
      <c r="I438" s="19">
        <v>1263</v>
      </c>
      <c r="J438" s="25">
        <v>0.94061799999999995</v>
      </c>
      <c r="K438" s="26">
        <v>299.99786400000022</v>
      </c>
      <c r="L438" s="26">
        <v>102840</v>
      </c>
      <c r="M438" s="26">
        <v>9</v>
      </c>
      <c r="N438" s="26">
        <v>8</v>
      </c>
      <c r="O438" s="27">
        <v>17</v>
      </c>
      <c r="P438" s="19">
        <v>22</v>
      </c>
      <c r="Q438" s="19">
        <v>4</v>
      </c>
      <c r="R438" s="19" t="s">
        <v>431</v>
      </c>
      <c r="S438" s="26">
        <v>0</v>
      </c>
      <c r="T438" s="28" t="s">
        <v>1933</v>
      </c>
      <c r="U438" s="19" t="s">
        <v>1041</v>
      </c>
      <c r="V438" s="19" t="s">
        <v>431</v>
      </c>
      <c r="X438" t="b">
        <f>VLOOKUP(B438,'M10B Order'!B:F,5,FALSE)=W438</f>
        <v>1</v>
      </c>
    </row>
    <row r="439" spans="1:24" x14ac:dyDescent="0.2">
      <c r="A439" s="19">
        <v>573626671</v>
      </c>
      <c r="B439" s="19" t="s">
        <v>788</v>
      </c>
      <c r="C439" s="19" t="s">
        <v>789</v>
      </c>
      <c r="D439" s="19" t="s">
        <v>369</v>
      </c>
      <c r="E439" s="19" t="s">
        <v>1777</v>
      </c>
      <c r="F439" s="19">
        <v>508804192</v>
      </c>
      <c r="G439" s="19">
        <v>4</v>
      </c>
      <c r="H439" s="19">
        <v>24</v>
      </c>
      <c r="I439" s="19">
        <v>1263</v>
      </c>
      <c r="J439" s="25">
        <v>0.94061799999999995</v>
      </c>
      <c r="K439" s="26">
        <v>299.99786400000022</v>
      </c>
      <c r="L439" s="26">
        <v>27192</v>
      </c>
      <c r="M439" s="26">
        <v>9</v>
      </c>
      <c r="N439" s="26">
        <v>8</v>
      </c>
      <c r="O439" s="27">
        <v>17</v>
      </c>
      <c r="P439" s="19">
        <v>22</v>
      </c>
      <c r="Q439" s="19">
        <v>4</v>
      </c>
      <c r="R439" s="19" t="s">
        <v>431</v>
      </c>
      <c r="S439" s="26">
        <v>0</v>
      </c>
      <c r="T439" s="28" t="s">
        <v>1933</v>
      </c>
      <c r="U439" s="19" t="s">
        <v>260</v>
      </c>
      <c r="V439" s="19" t="s">
        <v>431</v>
      </c>
      <c r="X439" t="b">
        <f>VLOOKUP(B439,'M10B Order'!B:F,5,FALSE)=W439</f>
        <v>1</v>
      </c>
    </row>
    <row r="440" spans="1:24" x14ac:dyDescent="0.2">
      <c r="A440" s="19">
        <v>573626611</v>
      </c>
      <c r="B440" s="19" t="s">
        <v>786</v>
      </c>
      <c r="C440" s="19" t="s">
        <v>787</v>
      </c>
      <c r="D440" s="19" t="s">
        <v>369</v>
      </c>
      <c r="E440" s="19" t="s">
        <v>1777</v>
      </c>
      <c r="F440" s="19">
        <v>508804192</v>
      </c>
      <c r="G440" s="19">
        <v>4</v>
      </c>
      <c r="H440" s="19">
        <v>24</v>
      </c>
      <c r="I440" s="19">
        <v>1233</v>
      </c>
      <c r="J440" s="25">
        <v>0.95052700000000001</v>
      </c>
      <c r="K440" s="26">
        <v>244.00083599999994</v>
      </c>
      <c r="L440" s="26">
        <v>121944</v>
      </c>
      <c r="M440" s="26">
        <v>9</v>
      </c>
      <c r="N440" s="26">
        <v>8</v>
      </c>
      <c r="O440" s="27">
        <v>17</v>
      </c>
      <c r="P440" s="19">
        <v>22</v>
      </c>
      <c r="Q440" s="19">
        <v>4</v>
      </c>
      <c r="R440" s="19" t="s">
        <v>431</v>
      </c>
      <c r="S440" s="26">
        <v>0</v>
      </c>
      <c r="T440" s="28" t="s">
        <v>1933</v>
      </c>
      <c r="U440" s="19" t="s">
        <v>268</v>
      </c>
      <c r="V440" s="19">
        <v>0</v>
      </c>
      <c r="X440" t="b">
        <f>VLOOKUP(B440,'M10B Order'!B:F,5,FALSE)=W440</f>
        <v>1</v>
      </c>
    </row>
    <row r="441" spans="1:24" x14ac:dyDescent="0.2">
      <c r="A441" s="19">
        <v>573626617</v>
      </c>
      <c r="B441" s="19" t="s">
        <v>784</v>
      </c>
      <c r="C441" s="29" t="s">
        <v>785</v>
      </c>
      <c r="D441" s="19" t="s">
        <v>369</v>
      </c>
      <c r="E441" s="19" t="s">
        <v>1777</v>
      </c>
      <c r="F441" s="19">
        <v>508804192</v>
      </c>
      <c r="G441" s="19">
        <v>4</v>
      </c>
      <c r="H441" s="19">
        <v>24</v>
      </c>
      <c r="I441" s="19">
        <v>3873</v>
      </c>
      <c r="J441" s="25">
        <v>0.97237300000000004</v>
      </c>
      <c r="K441" s="26">
        <v>427.99748399999936</v>
      </c>
      <c r="L441" s="26">
        <v>76344</v>
      </c>
      <c r="M441" s="26">
        <v>9</v>
      </c>
      <c r="N441" s="26">
        <v>8</v>
      </c>
      <c r="O441" s="27">
        <v>17</v>
      </c>
      <c r="P441" s="19">
        <v>22</v>
      </c>
      <c r="Q441" s="19">
        <v>4</v>
      </c>
      <c r="R441" s="19" t="s">
        <v>431</v>
      </c>
      <c r="S441" s="26">
        <v>0</v>
      </c>
      <c r="T441" s="28">
        <v>32</v>
      </c>
      <c r="U441" s="19" t="s">
        <v>648</v>
      </c>
      <c r="V441" s="19">
        <v>435.66148800000065</v>
      </c>
      <c r="X441" t="b">
        <f>VLOOKUP(B441,'M10B Order'!B:F,5,FALSE)=W441</f>
        <v>1</v>
      </c>
    </row>
    <row r="442" spans="1:24" x14ac:dyDescent="0.2">
      <c r="A442" s="19">
        <v>579058001</v>
      </c>
      <c r="B442" s="19" t="s">
        <v>1223</v>
      </c>
      <c r="C442" s="19" t="s">
        <v>1224</v>
      </c>
      <c r="D442" s="19" t="s">
        <v>405</v>
      </c>
      <c r="E442" s="19" t="s">
        <v>1778</v>
      </c>
      <c r="F442" s="19">
        <v>508804191</v>
      </c>
      <c r="G442" s="19">
        <v>8</v>
      </c>
      <c r="H442" s="19">
        <v>8</v>
      </c>
      <c r="I442" s="19">
        <v>1257</v>
      </c>
      <c r="J442" s="25">
        <v>0.97851999999999995</v>
      </c>
      <c r="K442" s="26">
        <v>216.00288000000054</v>
      </c>
      <c r="L442" s="26">
        <v>1328</v>
      </c>
      <c r="M442" s="26">
        <v>11</v>
      </c>
      <c r="N442" s="26">
        <v>8</v>
      </c>
      <c r="O442" s="27">
        <v>19</v>
      </c>
      <c r="P442" s="19">
        <v>12</v>
      </c>
      <c r="Q442" s="19">
        <v>1</v>
      </c>
      <c r="R442" s="19" t="s">
        <v>431</v>
      </c>
      <c r="S442" s="26">
        <v>0</v>
      </c>
      <c r="T442" s="28">
        <v>15</v>
      </c>
      <c r="U442" s="19">
        <v>0</v>
      </c>
      <c r="V442" s="19" t="s">
        <v>431</v>
      </c>
      <c r="X442" t="b">
        <f>VLOOKUP(B442,'M10B Order'!B:F,5,FALSE)=W442</f>
        <v>1</v>
      </c>
    </row>
    <row r="443" spans="1:24" x14ac:dyDescent="0.2">
      <c r="A443" s="19">
        <v>579058066</v>
      </c>
      <c r="B443" s="19" t="s">
        <v>1225</v>
      </c>
      <c r="C443" s="29" t="s">
        <v>1226</v>
      </c>
      <c r="D443" s="19" t="s">
        <v>405</v>
      </c>
      <c r="E443" s="19" t="s">
        <v>1778</v>
      </c>
      <c r="F443" s="19">
        <v>508804191</v>
      </c>
      <c r="G443" s="19">
        <v>8</v>
      </c>
      <c r="H443" s="19">
        <v>8</v>
      </c>
      <c r="I443" s="19">
        <v>1257</v>
      </c>
      <c r="J443" s="25">
        <v>0.95306299999999999</v>
      </c>
      <c r="K443" s="26">
        <v>471.99847200000005</v>
      </c>
      <c r="L443" s="26">
        <v>0</v>
      </c>
      <c r="M443" s="26">
        <v>11</v>
      </c>
      <c r="N443" s="26">
        <v>8</v>
      </c>
      <c r="O443" s="27">
        <v>19</v>
      </c>
      <c r="P443" s="19">
        <v>12</v>
      </c>
      <c r="Q443" s="19">
        <v>1</v>
      </c>
      <c r="R443" s="19" t="s">
        <v>431</v>
      </c>
      <c r="S443" s="26">
        <v>0</v>
      </c>
      <c r="T443" s="28">
        <v>18</v>
      </c>
      <c r="U443" s="19">
        <v>0</v>
      </c>
      <c r="V443" s="19" t="s">
        <v>431</v>
      </c>
      <c r="X443" t="b">
        <f>VLOOKUP(B443,'M10B Order'!B:F,5,FALSE)=W443</f>
        <v>1</v>
      </c>
    </row>
    <row r="444" spans="1:24" x14ac:dyDescent="0.2">
      <c r="A444" s="19">
        <v>579058059</v>
      </c>
      <c r="B444" s="19" t="s">
        <v>1229</v>
      </c>
      <c r="C444" s="19" t="s">
        <v>1230</v>
      </c>
      <c r="D444" s="19" t="s">
        <v>405</v>
      </c>
      <c r="E444" s="19" t="s">
        <v>1778</v>
      </c>
      <c r="F444" s="19">
        <v>508804191</v>
      </c>
      <c r="G444" s="19">
        <v>8</v>
      </c>
      <c r="H444" s="19">
        <v>8</v>
      </c>
      <c r="I444" s="19">
        <v>1029</v>
      </c>
      <c r="J444" s="25">
        <v>0.93877600000000005</v>
      </c>
      <c r="K444" s="26">
        <v>503.99596799999955</v>
      </c>
      <c r="L444" s="26">
        <v>440</v>
      </c>
      <c r="M444" s="26">
        <v>11</v>
      </c>
      <c r="N444" s="26">
        <v>8</v>
      </c>
      <c r="O444" s="27">
        <v>19</v>
      </c>
      <c r="P444" s="19">
        <v>12</v>
      </c>
      <c r="Q444" s="19">
        <v>1</v>
      </c>
      <c r="R444" s="19" t="s">
        <v>431</v>
      </c>
      <c r="S444" s="26">
        <v>0</v>
      </c>
      <c r="T444" s="28">
        <v>17</v>
      </c>
      <c r="U444" s="19">
        <v>0</v>
      </c>
      <c r="V444" s="19" t="s">
        <v>431</v>
      </c>
      <c r="X444" t="b">
        <f>VLOOKUP(B444,'M10B Order'!B:F,5,FALSE)=W444</f>
        <v>1</v>
      </c>
    </row>
    <row r="445" spans="1:24" x14ac:dyDescent="0.2">
      <c r="A445" s="19">
        <v>579058061</v>
      </c>
      <c r="B445" s="19" t="s">
        <v>1231</v>
      </c>
      <c r="C445" s="19" t="s">
        <v>1232</v>
      </c>
      <c r="D445" s="19" t="s">
        <v>405</v>
      </c>
      <c r="E445" s="19" t="s">
        <v>1778</v>
      </c>
      <c r="F445" s="19">
        <v>508804191</v>
      </c>
      <c r="G445" s="19">
        <v>8</v>
      </c>
      <c r="H445" s="19">
        <v>8</v>
      </c>
      <c r="I445" s="19">
        <v>458</v>
      </c>
      <c r="J445" s="25">
        <v>0.94978200000000002</v>
      </c>
      <c r="K445" s="26">
        <v>183.99875199999994</v>
      </c>
      <c r="L445" s="26">
        <v>2016</v>
      </c>
      <c r="M445" s="26">
        <v>11</v>
      </c>
      <c r="N445" s="26">
        <v>8</v>
      </c>
      <c r="O445" s="27">
        <v>19</v>
      </c>
      <c r="P445" s="19">
        <v>12</v>
      </c>
      <c r="Q445" s="19">
        <v>1</v>
      </c>
      <c r="R445" s="19" t="s">
        <v>431</v>
      </c>
      <c r="S445" s="26">
        <v>0</v>
      </c>
      <c r="T445" s="28" t="s">
        <v>1933</v>
      </c>
      <c r="U445" s="19">
        <v>0</v>
      </c>
      <c r="V445" s="19" t="s">
        <v>431</v>
      </c>
      <c r="X445" t="b">
        <f>VLOOKUP(B445,'M10B Order'!B:F,5,FALSE)=W445</f>
        <v>1</v>
      </c>
    </row>
    <row r="446" spans="1:24" x14ac:dyDescent="0.2">
      <c r="A446" s="29">
        <v>579058078</v>
      </c>
      <c r="B446" s="29" t="s">
        <v>1235</v>
      </c>
      <c r="C446" s="29" t="s">
        <v>1236</v>
      </c>
      <c r="D446" s="29" t="s">
        <v>405</v>
      </c>
      <c r="E446" s="29" t="s">
        <v>1778</v>
      </c>
      <c r="F446" s="29">
        <v>508804191</v>
      </c>
      <c r="G446" s="29">
        <v>8</v>
      </c>
      <c r="H446" s="29">
        <v>8</v>
      </c>
      <c r="I446" s="29">
        <v>197</v>
      </c>
      <c r="J446" s="30">
        <v>0.97461900000000001</v>
      </c>
      <c r="K446" s="31">
        <v>40.000455999999978</v>
      </c>
      <c r="L446" s="31">
        <v>0</v>
      </c>
      <c r="M446" s="31">
        <v>12</v>
      </c>
      <c r="N446" s="31">
        <v>8</v>
      </c>
      <c r="O446" s="32">
        <v>20</v>
      </c>
      <c r="P446" s="29">
        <v>12</v>
      </c>
      <c r="Q446" s="29">
        <v>1</v>
      </c>
      <c r="R446" s="29" t="s">
        <v>431</v>
      </c>
      <c r="S446" s="31">
        <v>0</v>
      </c>
      <c r="T446" s="33" t="s">
        <v>1933</v>
      </c>
      <c r="U446" s="29">
        <v>0</v>
      </c>
      <c r="V446" s="29" t="s">
        <v>431</v>
      </c>
      <c r="X446" t="b">
        <f>VLOOKUP(B446,'M10B Order'!B:F,5,FALSE)=W446</f>
        <v>1</v>
      </c>
    </row>
    <row r="447" spans="1:24" x14ac:dyDescent="0.2">
      <c r="A447" s="19">
        <v>579058064</v>
      </c>
      <c r="B447" s="19" t="s">
        <v>1237</v>
      </c>
      <c r="C447" s="19" t="s">
        <v>1238</v>
      </c>
      <c r="D447" s="19" t="s">
        <v>405</v>
      </c>
      <c r="E447" s="19" t="s">
        <v>1778</v>
      </c>
      <c r="F447" s="19">
        <v>508804191</v>
      </c>
      <c r="G447" s="19">
        <v>8</v>
      </c>
      <c r="H447" s="19">
        <v>8</v>
      </c>
      <c r="I447" s="19">
        <v>198</v>
      </c>
      <c r="J447" s="25">
        <v>0.97474700000000003</v>
      </c>
      <c r="K447" s="26">
        <v>40.000751999999949</v>
      </c>
      <c r="L447" s="26">
        <v>152</v>
      </c>
      <c r="M447" s="26">
        <v>11</v>
      </c>
      <c r="N447" s="26">
        <v>8</v>
      </c>
      <c r="O447" s="27">
        <v>19</v>
      </c>
      <c r="P447" s="19">
        <v>12</v>
      </c>
      <c r="Q447" s="19">
        <v>1</v>
      </c>
      <c r="R447" s="19" t="s">
        <v>431</v>
      </c>
      <c r="S447" s="26">
        <v>0</v>
      </c>
      <c r="T447" s="28" t="s">
        <v>1933</v>
      </c>
      <c r="U447" s="19">
        <v>0</v>
      </c>
      <c r="V447" s="19" t="s">
        <v>431</v>
      </c>
      <c r="X447" t="b">
        <f>VLOOKUP(B447,'M10B Order'!B:F,5,FALSE)=W447</f>
        <v>1</v>
      </c>
    </row>
    <row r="448" spans="1:24" x14ac:dyDescent="0.2">
      <c r="A448" s="19">
        <v>581933049</v>
      </c>
      <c r="B448" s="19" t="s">
        <v>643</v>
      </c>
      <c r="C448" s="19" t="s">
        <v>1724</v>
      </c>
      <c r="D448" s="19" t="s">
        <v>1719</v>
      </c>
      <c r="E448" s="19" t="s">
        <v>1778</v>
      </c>
      <c r="F448" s="19">
        <v>508804198</v>
      </c>
      <c r="G448" s="19">
        <v>3</v>
      </c>
      <c r="H448" s="19">
        <v>3</v>
      </c>
      <c r="I448" s="19">
        <v>3</v>
      </c>
      <c r="J448" s="25">
        <v>1</v>
      </c>
      <c r="K448" s="26">
        <v>0</v>
      </c>
      <c r="L448" s="26">
        <v>1227</v>
      </c>
      <c r="M448" s="26">
        <v>9</v>
      </c>
      <c r="N448" s="26">
        <v>8</v>
      </c>
      <c r="O448" s="27">
        <v>17</v>
      </c>
      <c r="P448" s="19">
        <v>22</v>
      </c>
      <c r="Q448" s="19">
        <v>1</v>
      </c>
      <c r="R448" s="19" t="s">
        <v>431</v>
      </c>
      <c r="S448" s="26">
        <v>0</v>
      </c>
      <c r="T448" s="28" t="s">
        <v>1933</v>
      </c>
      <c r="U448" s="19" t="s">
        <v>1725</v>
      </c>
      <c r="V448" s="19">
        <v>0</v>
      </c>
      <c r="X448" t="b">
        <f>VLOOKUP(B448,'M10B Order'!B:F,5,FALSE)=W448</f>
        <v>1</v>
      </c>
    </row>
    <row r="449" spans="1:24" x14ac:dyDescent="0.2">
      <c r="A449" s="19">
        <v>581933040</v>
      </c>
      <c r="B449" s="19" t="s">
        <v>642</v>
      </c>
      <c r="C449" s="19" t="s">
        <v>1722</v>
      </c>
      <c r="D449" s="19" t="s">
        <v>1719</v>
      </c>
      <c r="E449" s="19" t="s">
        <v>1778</v>
      </c>
      <c r="F449" s="19">
        <v>508804198</v>
      </c>
      <c r="G449" s="19">
        <v>3</v>
      </c>
      <c r="H449" s="19">
        <v>3</v>
      </c>
      <c r="I449" s="19">
        <v>2</v>
      </c>
      <c r="J449" s="25">
        <v>1</v>
      </c>
      <c r="K449" s="26">
        <v>0</v>
      </c>
      <c r="L449" s="26">
        <v>1483</v>
      </c>
      <c r="M449" s="26">
        <v>9</v>
      </c>
      <c r="N449" s="26">
        <v>8</v>
      </c>
      <c r="O449" s="27">
        <v>17</v>
      </c>
      <c r="P449" s="19">
        <v>22</v>
      </c>
      <c r="Q449" s="19">
        <v>1</v>
      </c>
      <c r="R449" s="19" t="s">
        <v>431</v>
      </c>
      <c r="S449" s="26">
        <v>0</v>
      </c>
      <c r="T449" s="28" t="s">
        <v>1933</v>
      </c>
      <c r="U449" s="19" t="s">
        <v>1723</v>
      </c>
      <c r="V449" s="19">
        <v>242.10999999999993</v>
      </c>
      <c r="X449" t="b">
        <f>VLOOKUP(B449,'M10B Order'!B:F,5,FALSE)=W449</f>
        <v>1</v>
      </c>
    </row>
    <row r="450" spans="1:24" x14ac:dyDescent="0.2">
      <c r="A450" s="19">
        <v>582083553</v>
      </c>
      <c r="B450" s="19" t="s">
        <v>1725</v>
      </c>
      <c r="C450" s="19" t="s">
        <v>1745</v>
      </c>
      <c r="D450" s="19" t="s">
        <v>1742</v>
      </c>
      <c r="E450" s="19" t="s">
        <v>1778</v>
      </c>
      <c r="F450" s="19">
        <v>508804198</v>
      </c>
      <c r="G450" s="19">
        <v>8</v>
      </c>
      <c r="H450" s="19">
        <v>8</v>
      </c>
      <c r="I450" s="19">
        <v>720</v>
      </c>
      <c r="J450" s="25">
        <v>0.98055599999999998</v>
      </c>
      <c r="K450" s="26">
        <v>111.9974400000001</v>
      </c>
      <c r="L450" s="26">
        <v>1224</v>
      </c>
      <c r="M450" s="26">
        <v>7</v>
      </c>
      <c r="N450" s="26">
        <v>8</v>
      </c>
      <c r="O450" s="27">
        <v>15</v>
      </c>
      <c r="P450" s="19">
        <v>22</v>
      </c>
      <c r="Q450" s="19">
        <v>1</v>
      </c>
      <c r="R450" s="19" t="s">
        <v>431</v>
      </c>
      <c r="S450" s="26">
        <v>0</v>
      </c>
      <c r="T450" s="28">
        <v>25</v>
      </c>
      <c r="U450" s="19" t="s">
        <v>643</v>
      </c>
      <c r="V450" s="19">
        <v>0</v>
      </c>
      <c r="X450" t="b">
        <f>VLOOKUP(B450,'M10B Order'!B:F,5,FALSE)=W450</f>
        <v>1</v>
      </c>
    </row>
    <row r="451" spans="1:24" x14ac:dyDescent="0.2">
      <c r="A451" s="19">
        <v>581933047</v>
      </c>
      <c r="B451" s="19" t="s">
        <v>1726</v>
      </c>
      <c r="C451" s="19" t="s">
        <v>1727</v>
      </c>
      <c r="D451" s="19" t="s">
        <v>1718</v>
      </c>
      <c r="E451" s="19" t="s">
        <v>1778</v>
      </c>
      <c r="F451" s="19">
        <v>508804191</v>
      </c>
      <c r="G451" s="19">
        <v>8</v>
      </c>
      <c r="H451" s="19">
        <v>8</v>
      </c>
      <c r="I451" s="19">
        <v>720</v>
      </c>
      <c r="J451" s="25">
        <v>0.96944399999999997</v>
      </c>
      <c r="K451" s="26">
        <v>176.00256000000016</v>
      </c>
      <c r="L451" s="26">
        <v>0</v>
      </c>
      <c r="M451" s="26">
        <v>9</v>
      </c>
      <c r="N451" s="26">
        <v>8</v>
      </c>
      <c r="O451" s="27">
        <v>17</v>
      </c>
      <c r="P451" s="19">
        <v>22</v>
      </c>
      <c r="Q451" s="19">
        <v>1</v>
      </c>
      <c r="R451" s="19" t="s">
        <v>431</v>
      </c>
      <c r="S451" s="26">
        <v>0</v>
      </c>
      <c r="T451" s="28">
        <v>24</v>
      </c>
      <c r="U451" s="19">
        <v>0</v>
      </c>
      <c r="V451" s="19" t="s">
        <v>431</v>
      </c>
      <c r="X451" t="b">
        <f>VLOOKUP(B451,'M10B Order'!B:F,5,FALSE)=W451</f>
        <v>1</v>
      </c>
    </row>
    <row r="452" spans="1:24" x14ac:dyDescent="0.2">
      <c r="A452" s="19">
        <v>581933043</v>
      </c>
      <c r="B452" s="19" t="s">
        <v>1732</v>
      </c>
      <c r="C452" s="19" t="s">
        <v>1733</v>
      </c>
      <c r="D452" s="19" t="s">
        <v>1718</v>
      </c>
      <c r="E452" s="19" t="s">
        <v>1778</v>
      </c>
      <c r="F452" s="19">
        <v>508804191</v>
      </c>
      <c r="G452" s="19">
        <v>8</v>
      </c>
      <c r="H452" s="19">
        <v>8</v>
      </c>
      <c r="I452" s="19">
        <v>720</v>
      </c>
      <c r="J452" s="25">
        <v>0.97777800000000004</v>
      </c>
      <c r="K452" s="26">
        <v>127.99871999999979</v>
      </c>
      <c r="L452" s="26">
        <v>848</v>
      </c>
      <c r="M452" s="26">
        <v>9</v>
      </c>
      <c r="N452" s="26">
        <v>8</v>
      </c>
      <c r="O452" s="27">
        <v>17</v>
      </c>
      <c r="P452" s="19">
        <v>22</v>
      </c>
      <c r="Q452" s="19">
        <v>1</v>
      </c>
      <c r="R452" s="19" t="s">
        <v>431</v>
      </c>
      <c r="S452" s="26">
        <v>0</v>
      </c>
      <c r="T452" s="28">
        <v>27</v>
      </c>
      <c r="U452" s="19">
        <v>0</v>
      </c>
      <c r="V452" s="19" t="s">
        <v>431</v>
      </c>
      <c r="X452" t="b">
        <f>VLOOKUP(B452,'M10B Order'!B:F,5,FALSE)=W452</f>
        <v>1</v>
      </c>
    </row>
    <row r="453" spans="1:24" x14ac:dyDescent="0.2">
      <c r="A453" s="19">
        <v>581933039</v>
      </c>
      <c r="B453" s="19" t="s">
        <v>1736</v>
      </c>
      <c r="C453" s="19" t="s">
        <v>1737</v>
      </c>
      <c r="D453" s="19" t="s">
        <v>1718</v>
      </c>
      <c r="E453" s="19" t="s">
        <v>1778</v>
      </c>
      <c r="F453" s="19">
        <v>508804191</v>
      </c>
      <c r="G453" s="19">
        <v>8</v>
      </c>
      <c r="H453" s="19">
        <v>8</v>
      </c>
      <c r="I453" s="19">
        <v>269</v>
      </c>
      <c r="J453" s="25">
        <v>0.99256500000000003</v>
      </c>
      <c r="K453" s="26">
        <v>16.000119999999935</v>
      </c>
      <c r="L453" s="26">
        <v>3992</v>
      </c>
      <c r="M453" s="26">
        <v>9</v>
      </c>
      <c r="N453" s="26">
        <v>8</v>
      </c>
      <c r="O453" s="27">
        <v>17</v>
      </c>
      <c r="P453" s="19">
        <v>22</v>
      </c>
      <c r="Q453" s="19">
        <v>1</v>
      </c>
      <c r="R453" s="19" t="s">
        <v>431</v>
      </c>
      <c r="S453" s="26">
        <v>0</v>
      </c>
      <c r="T453" s="28" t="s">
        <v>1933</v>
      </c>
      <c r="U453" s="19">
        <v>0</v>
      </c>
      <c r="V453" s="19" t="s">
        <v>431</v>
      </c>
      <c r="X453" t="b">
        <f>VLOOKUP(B453,'M10B Order'!B:F,5,FALSE)=W453</f>
        <v>1</v>
      </c>
    </row>
    <row r="454" spans="1:24" x14ac:dyDescent="0.2">
      <c r="A454" s="19">
        <v>581933036</v>
      </c>
      <c r="B454" s="19" t="s">
        <v>1734</v>
      </c>
      <c r="C454" s="19" t="s">
        <v>1735</v>
      </c>
      <c r="D454" s="19" t="s">
        <v>1718</v>
      </c>
      <c r="E454" s="19" t="s">
        <v>1778</v>
      </c>
      <c r="F454" s="19">
        <v>508804191</v>
      </c>
      <c r="G454" s="19">
        <v>8</v>
      </c>
      <c r="H454" s="19">
        <v>8</v>
      </c>
      <c r="I454" s="19">
        <v>270</v>
      </c>
      <c r="J454" s="25">
        <v>0.95925899999999997</v>
      </c>
      <c r="K454" s="26">
        <v>88.000560000000064</v>
      </c>
      <c r="L454" s="26">
        <v>456</v>
      </c>
      <c r="M454" s="26">
        <v>9</v>
      </c>
      <c r="N454" s="26">
        <v>8</v>
      </c>
      <c r="O454" s="27">
        <v>17</v>
      </c>
      <c r="P454" s="19">
        <v>22</v>
      </c>
      <c r="Q454" s="19">
        <v>1</v>
      </c>
      <c r="R454" s="19" t="s">
        <v>431</v>
      </c>
      <c r="S454" s="26">
        <v>0</v>
      </c>
      <c r="T454" s="28" t="s">
        <v>1933</v>
      </c>
      <c r="U454" s="19">
        <v>0</v>
      </c>
      <c r="V454" s="19" t="s">
        <v>431</v>
      </c>
      <c r="X454" t="b">
        <f>VLOOKUP(B454,'M10B Order'!B:F,5,FALSE)=W454</f>
        <v>1</v>
      </c>
    </row>
    <row r="455" spans="1:24" x14ac:dyDescent="0.2">
      <c r="A455" s="19">
        <v>581933053</v>
      </c>
      <c r="B455" s="19" t="s">
        <v>1087</v>
      </c>
      <c r="C455" s="19" t="s">
        <v>1088</v>
      </c>
      <c r="D455" s="19" t="s">
        <v>1718</v>
      </c>
      <c r="E455" s="19" t="s">
        <v>1778</v>
      </c>
      <c r="F455" s="19">
        <v>508804191</v>
      </c>
      <c r="G455" s="19">
        <v>8</v>
      </c>
      <c r="H455" s="19">
        <v>8</v>
      </c>
      <c r="I455" s="19">
        <v>54</v>
      </c>
      <c r="J455" s="25">
        <v>0.98148100000000005</v>
      </c>
      <c r="K455" s="26">
        <v>8.0002079999999793</v>
      </c>
      <c r="L455" s="26">
        <v>23384</v>
      </c>
      <c r="M455" s="26">
        <v>11</v>
      </c>
      <c r="N455" s="26">
        <v>8</v>
      </c>
      <c r="O455" s="27">
        <v>19</v>
      </c>
      <c r="P455" s="19">
        <v>22</v>
      </c>
      <c r="Q455" s="19">
        <v>1</v>
      </c>
      <c r="R455" s="19" t="s">
        <v>431</v>
      </c>
      <c r="S455" s="26">
        <v>0</v>
      </c>
      <c r="T455" s="28" t="s">
        <v>1933</v>
      </c>
      <c r="U455" s="19">
        <v>0</v>
      </c>
      <c r="V455" s="19" t="s">
        <v>431</v>
      </c>
      <c r="X455" t="b">
        <f>VLOOKUP(B455,'M10B Order'!B:F,5,FALSE)=W455</f>
        <v>1</v>
      </c>
    </row>
    <row r="456" spans="1:24" x14ac:dyDescent="0.2">
      <c r="A456" s="19">
        <v>581933038</v>
      </c>
      <c r="B456" s="19" t="s">
        <v>1089</v>
      </c>
      <c r="C456" s="19" t="s">
        <v>1090</v>
      </c>
      <c r="D456" s="19" t="s">
        <v>1718</v>
      </c>
      <c r="E456" s="19" t="s">
        <v>1778</v>
      </c>
      <c r="F456" s="19">
        <v>508804191</v>
      </c>
      <c r="G456" s="19">
        <v>8</v>
      </c>
      <c r="H456" s="19">
        <v>8</v>
      </c>
      <c r="I456" s="19">
        <v>253</v>
      </c>
      <c r="J456" s="25">
        <v>0.96442700000000003</v>
      </c>
      <c r="K456" s="26">
        <v>71.99975199999993</v>
      </c>
      <c r="L456" s="26">
        <v>0</v>
      </c>
      <c r="M456" s="26">
        <v>11</v>
      </c>
      <c r="N456" s="26">
        <v>8</v>
      </c>
      <c r="O456" s="27">
        <v>19</v>
      </c>
      <c r="P456" s="19">
        <v>22</v>
      </c>
      <c r="Q456" s="19">
        <v>1</v>
      </c>
      <c r="R456" s="19" t="s">
        <v>431</v>
      </c>
      <c r="S456" s="26">
        <v>0</v>
      </c>
      <c r="T456" s="28" t="s">
        <v>1933</v>
      </c>
      <c r="U456" s="19">
        <v>0</v>
      </c>
      <c r="V456" s="19" t="s">
        <v>431</v>
      </c>
      <c r="X456" t="b">
        <f>VLOOKUP(B456,'M10B Order'!B:F,5,FALSE)=W456</f>
        <v>1</v>
      </c>
    </row>
    <row r="457" spans="1:24" x14ac:dyDescent="0.2">
      <c r="A457" s="19">
        <v>581933050</v>
      </c>
      <c r="B457" s="19" t="s">
        <v>1091</v>
      </c>
      <c r="C457" s="19" t="s">
        <v>1092</v>
      </c>
      <c r="D457" s="19" t="s">
        <v>1718</v>
      </c>
      <c r="E457" s="19" t="s">
        <v>1778</v>
      </c>
      <c r="F457" s="19">
        <v>508804191</v>
      </c>
      <c r="G457" s="19">
        <v>8</v>
      </c>
      <c r="H457" s="19">
        <v>8</v>
      </c>
      <c r="I457" s="19">
        <v>337</v>
      </c>
      <c r="J457" s="25">
        <v>0.97329399999999999</v>
      </c>
      <c r="K457" s="26">
        <v>71.999376000000026</v>
      </c>
      <c r="L457" s="26">
        <v>0</v>
      </c>
      <c r="M457" s="26">
        <v>11</v>
      </c>
      <c r="N457" s="26">
        <v>8</v>
      </c>
      <c r="O457" s="27">
        <v>19</v>
      </c>
      <c r="P457" s="19">
        <v>22</v>
      </c>
      <c r="Q457" s="19">
        <v>1</v>
      </c>
      <c r="R457" s="19" t="s">
        <v>431</v>
      </c>
      <c r="S457" s="26">
        <v>0</v>
      </c>
      <c r="T457" s="28">
        <v>33</v>
      </c>
      <c r="U457" s="19">
        <v>0</v>
      </c>
      <c r="V457" s="19" t="s">
        <v>431</v>
      </c>
      <c r="X457" t="b">
        <f>VLOOKUP(B457,'M10B Order'!B:F,5,FALSE)=W457</f>
        <v>1</v>
      </c>
    </row>
    <row r="458" spans="1:24" x14ac:dyDescent="0.2">
      <c r="A458" s="19">
        <v>581933041</v>
      </c>
      <c r="B458" s="19" t="s">
        <v>1093</v>
      </c>
      <c r="C458" s="19" t="s">
        <v>1094</v>
      </c>
      <c r="D458" s="19" t="s">
        <v>1718</v>
      </c>
      <c r="E458" s="19" t="s">
        <v>1778</v>
      </c>
      <c r="F458" s="19">
        <v>508804191</v>
      </c>
      <c r="G458" s="19">
        <v>8</v>
      </c>
      <c r="H458" s="19">
        <v>8</v>
      </c>
      <c r="I458" s="19">
        <v>504</v>
      </c>
      <c r="J458" s="25">
        <v>0.96825399999999995</v>
      </c>
      <c r="K458" s="26">
        <v>127.99987200000021</v>
      </c>
      <c r="L458" s="26">
        <v>0</v>
      </c>
      <c r="M458" s="26">
        <v>11</v>
      </c>
      <c r="N458" s="26">
        <v>8</v>
      </c>
      <c r="O458" s="27">
        <v>19</v>
      </c>
      <c r="P458" s="19">
        <v>22</v>
      </c>
      <c r="Q458" s="19">
        <v>1</v>
      </c>
      <c r="R458" s="19" t="s">
        <v>431</v>
      </c>
      <c r="S458" s="26">
        <v>0</v>
      </c>
      <c r="T458" s="28">
        <v>32</v>
      </c>
      <c r="U458" s="19">
        <v>0</v>
      </c>
      <c r="V458" s="19" t="s">
        <v>431</v>
      </c>
      <c r="X458" t="b">
        <f>VLOOKUP(B458,'M10B Order'!B:F,5,FALSE)=W458</f>
        <v>1</v>
      </c>
    </row>
    <row r="459" spans="1:24" x14ac:dyDescent="0.2">
      <c r="A459" s="19">
        <v>581933044</v>
      </c>
      <c r="B459" s="19" t="s">
        <v>1095</v>
      </c>
      <c r="C459" s="19" t="s">
        <v>1096</v>
      </c>
      <c r="D459" s="19" t="s">
        <v>1718</v>
      </c>
      <c r="E459" s="19" t="s">
        <v>1778</v>
      </c>
      <c r="F459" s="19">
        <v>508804191</v>
      </c>
      <c r="G459" s="19">
        <v>8</v>
      </c>
      <c r="H459" s="19">
        <v>8</v>
      </c>
      <c r="I459" s="19">
        <v>629</v>
      </c>
      <c r="J459" s="25">
        <v>0.98092199999999996</v>
      </c>
      <c r="K459" s="26">
        <v>96.000496000000197</v>
      </c>
      <c r="L459" s="26">
        <v>6952</v>
      </c>
      <c r="M459" s="26">
        <v>11</v>
      </c>
      <c r="N459" s="26">
        <v>8</v>
      </c>
      <c r="O459" s="27">
        <v>19</v>
      </c>
      <c r="P459" s="19">
        <v>22</v>
      </c>
      <c r="Q459" s="19">
        <v>1</v>
      </c>
      <c r="R459" s="19" t="s">
        <v>431</v>
      </c>
      <c r="S459" s="26">
        <v>0</v>
      </c>
      <c r="T459" s="28">
        <v>32</v>
      </c>
      <c r="U459" s="19">
        <v>0</v>
      </c>
      <c r="V459" s="19" t="s">
        <v>431</v>
      </c>
      <c r="X459" t="b">
        <f>VLOOKUP(B459,'M10B Order'!B:F,5,FALSE)=W459</f>
        <v>1</v>
      </c>
    </row>
    <row r="460" spans="1:24" x14ac:dyDescent="0.2">
      <c r="A460" s="19">
        <v>581933051</v>
      </c>
      <c r="B460" s="19" t="s">
        <v>1097</v>
      </c>
      <c r="C460" s="19" t="s">
        <v>1098</v>
      </c>
      <c r="D460" s="19" t="s">
        <v>1718</v>
      </c>
      <c r="E460" s="19" t="s">
        <v>1778</v>
      </c>
      <c r="F460" s="19">
        <v>508804191</v>
      </c>
      <c r="G460" s="19">
        <v>8</v>
      </c>
      <c r="H460" s="19">
        <v>8</v>
      </c>
      <c r="I460" s="19">
        <v>1248</v>
      </c>
      <c r="J460" s="25">
        <v>0.93429499999999999</v>
      </c>
      <c r="K460" s="26">
        <v>655.99872000000016</v>
      </c>
      <c r="L460" s="26">
        <v>0</v>
      </c>
      <c r="M460" s="26">
        <v>11</v>
      </c>
      <c r="N460" s="26">
        <v>8</v>
      </c>
      <c r="O460" s="27">
        <v>19</v>
      </c>
      <c r="P460" s="19">
        <v>22</v>
      </c>
      <c r="Q460" s="19">
        <v>1</v>
      </c>
      <c r="R460" s="19" t="s">
        <v>431</v>
      </c>
      <c r="S460" s="26">
        <v>0</v>
      </c>
      <c r="T460" s="28" t="s">
        <v>1933</v>
      </c>
      <c r="U460" s="19">
        <v>0</v>
      </c>
      <c r="V460" s="19" t="s">
        <v>431</v>
      </c>
      <c r="X460" t="b">
        <f>VLOOKUP(B460,'M10B Order'!B:F,5,FALSE)=W460</f>
        <v>1</v>
      </c>
    </row>
    <row r="461" spans="1:24" x14ac:dyDescent="0.2">
      <c r="A461" s="19">
        <v>579058085</v>
      </c>
      <c r="B461" s="19" t="s">
        <v>1251</v>
      </c>
      <c r="C461" s="19" t="s">
        <v>1252</v>
      </c>
      <c r="D461" s="19" t="s">
        <v>1250</v>
      </c>
      <c r="E461" s="19" t="s">
        <v>1778</v>
      </c>
      <c r="F461" s="19">
        <v>508804198</v>
      </c>
      <c r="G461" s="19">
        <v>4</v>
      </c>
      <c r="H461" s="19">
        <v>4</v>
      </c>
      <c r="I461" s="19">
        <v>186</v>
      </c>
      <c r="J461" s="25">
        <v>0.99462399999999995</v>
      </c>
      <c r="K461" s="26">
        <v>3.9997440000000353</v>
      </c>
      <c r="L461" s="26">
        <v>1348</v>
      </c>
      <c r="M461" s="26">
        <v>9</v>
      </c>
      <c r="N461" s="26">
        <v>8</v>
      </c>
      <c r="O461" s="27">
        <v>17</v>
      </c>
      <c r="P461" s="19">
        <v>12</v>
      </c>
      <c r="Q461" s="19">
        <v>1</v>
      </c>
      <c r="R461" s="19" t="s">
        <v>431</v>
      </c>
      <c r="S461" s="26">
        <v>0</v>
      </c>
      <c r="T461" s="28" t="s">
        <v>1933</v>
      </c>
      <c r="U461" s="19">
        <v>0</v>
      </c>
      <c r="V461" s="19" t="s">
        <v>431</v>
      </c>
      <c r="X461" t="b">
        <f>VLOOKUP(B461,'M10B Order'!B:F,5,FALSE)=W461</f>
        <v>1</v>
      </c>
    </row>
    <row r="462" spans="1:24" x14ac:dyDescent="0.2">
      <c r="A462" s="19">
        <v>579058067</v>
      </c>
      <c r="B462" s="19" t="s">
        <v>1253</v>
      </c>
      <c r="C462" s="19" t="s">
        <v>1254</v>
      </c>
      <c r="D462" s="19" t="s">
        <v>1250</v>
      </c>
      <c r="E462" s="19" t="s">
        <v>1778</v>
      </c>
      <c r="F462" s="19">
        <v>508804198</v>
      </c>
      <c r="G462" s="19">
        <v>4</v>
      </c>
      <c r="H462" s="19">
        <v>4</v>
      </c>
      <c r="I462" s="19">
        <v>186</v>
      </c>
      <c r="J462" s="25">
        <v>0.98387100000000005</v>
      </c>
      <c r="K462" s="26">
        <v>11.999975999999961</v>
      </c>
      <c r="L462" s="26">
        <v>1180</v>
      </c>
      <c r="M462" s="26">
        <v>9</v>
      </c>
      <c r="N462" s="26">
        <v>8</v>
      </c>
      <c r="O462" s="27">
        <v>17</v>
      </c>
      <c r="P462" s="19">
        <v>12</v>
      </c>
      <c r="Q462" s="19">
        <v>1</v>
      </c>
      <c r="R462" s="19" t="s">
        <v>431</v>
      </c>
      <c r="S462" s="26">
        <v>0</v>
      </c>
      <c r="T462" s="28" t="s">
        <v>1933</v>
      </c>
      <c r="U462" s="19">
        <v>0</v>
      </c>
      <c r="V462" s="19" t="s">
        <v>431</v>
      </c>
      <c r="X462" t="b">
        <f>VLOOKUP(B462,'M10B Order'!B:F,5,FALSE)=W462</f>
        <v>1</v>
      </c>
    </row>
    <row r="463" spans="1:24" x14ac:dyDescent="0.2">
      <c r="A463" s="19">
        <v>579058089</v>
      </c>
      <c r="B463" s="19" t="s">
        <v>1255</v>
      </c>
      <c r="C463" s="19" t="s">
        <v>1256</v>
      </c>
      <c r="D463" s="19" t="s">
        <v>1250</v>
      </c>
      <c r="E463" s="19" t="s">
        <v>1778</v>
      </c>
      <c r="F463" s="19">
        <v>508804198</v>
      </c>
      <c r="G463" s="19">
        <v>4</v>
      </c>
      <c r="H463" s="19">
        <v>4</v>
      </c>
      <c r="I463" s="19">
        <v>186</v>
      </c>
      <c r="J463" s="25">
        <v>0.98387100000000005</v>
      </c>
      <c r="K463" s="26">
        <v>11.999975999999961</v>
      </c>
      <c r="L463" s="26">
        <v>1804</v>
      </c>
      <c r="M463" s="26">
        <v>9</v>
      </c>
      <c r="N463" s="26">
        <v>8</v>
      </c>
      <c r="O463" s="27">
        <v>17</v>
      </c>
      <c r="P463" s="19">
        <v>12</v>
      </c>
      <c r="Q463" s="19">
        <v>1</v>
      </c>
      <c r="R463" s="19" t="s">
        <v>431</v>
      </c>
      <c r="S463" s="26">
        <v>0</v>
      </c>
      <c r="T463" s="28" t="s">
        <v>1933</v>
      </c>
      <c r="U463" s="19">
        <v>0</v>
      </c>
      <c r="V463" s="19" t="s">
        <v>431</v>
      </c>
      <c r="X463" t="b">
        <f>VLOOKUP(B463,'M10B Order'!B:F,5,FALSE)=W463</f>
        <v>1</v>
      </c>
    </row>
    <row r="464" spans="1:24" x14ac:dyDescent="0.2">
      <c r="A464" s="19">
        <v>579058083</v>
      </c>
      <c r="B464" s="19" t="s">
        <v>1257</v>
      </c>
      <c r="C464" s="19" t="s">
        <v>1258</v>
      </c>
      <c r="D464" s="19" t="s">
        <v>1250</v>
      </c>
      <c r="E464" s="19" t="s">
        <v>1778</v>
      </c>
      <c r="F464" s="19">
        <v>508804198</v>
      </c>
      <c r="G464" s="19">
        <v>4</v>
      </c>
      <c r="H464" s="19">
        <v>4</v>
      </c>
      <c r="I464" s="19">
        <v>186</v>
      </c>
      <c r="J464" s="25">
        <v>0.98387100000000005</v>
      </c>
      <c r="K464" s="26">
        <v>11.999975999999961</v>
      </c>
      <c r="L464" s="26">
        <v>284</v>
      </c>
      <c r="M464" s="26">
        <v>9</v>
      </c>
      <c r="N464" s="26">
        <v>8</v>
      </c>
      <c r="O464" s="27">
        <v>17</v>
      </c>
      <c r="P464" s="19">
        <v>12</v>
      </c>
      <c r="Q464" s="19">
        <v>1</v>
      </c>
      <c r="R464" s="19" t="s">
        <v>431</v>
      </c>
      <c r="S464" s="26">
        <v>0</v>
      </c>
      <c r="T464" s="28" t="s">
        <v>1933</v>
      </c>
      <c r="U464" s="19">
        <v>0</v>
      </c>
      <c r="V464" s="19" t="s">
        <v>431</v>
      </c>
      <c r="X464" t="b">
        <f>VLOOKUP(B464,'M10B Order'!B:F,5,FALSE)=W464</f>
        <v>1</v>
      </c>
    </row>
    <row r="465" spans="1:27" x14ac:dyDescent="0.2">
      <c r="A465" s="19">
        <v>579058058</v>
      </c>
      <c r="B465" s="19" t="s">
        <v>1259</v>
      </c>
      <c r="C465" s="19" t="s">
        <v>1260</v>
      </c>
      <c r="D465" s="19" t="s">
        <v>1250</v>
      </c>
      <c r="E465" s="19" t="s">
        <v>1778</v>
      </c>
      <c r="F465" s="19">
        <v>508804198</v>
      </c>
      <c r="G465" s="19">
        <v>4</v>
      </c>
      <c r="H465" s="19">
        <v>4</v>
      </c>
      <c r="I465" s="19">
        <v>186</v>
      </c>
      <c r="J465" s="25">
        <v>0.99462399999999995</v>
      </c>
      <c r="K465" s="26">
        <v>3.9997440000000353</v>
      </c>
      <c r="L465" s="26">
        <v>1220</v>
      </c>
      <c r="M465" s="26">
        <v>9</v>
      </c>
      <c r="N465" s="26">
        <v>8</v>
      </c>
      <c r="O465" s="27">
        <v>17</v>
      </c>
      <c r="P465" s="19">
        <v>12</v>
      </c>
      <c r="Q465" s="19">
        <v>1</v>
      </c>
      <c r="R465" s="19" t="s">
        <v>431</v>
      </c>
      <c r="S465" s="26">
        <v>0</v>
      </c>
      <c r="T465" s="28" t="s">
        <v>1933</v>
      </c>
      <c r="U465" s="19">
        <v>0</v>
      </c>
      <c r="V465" s="19" t="s">
        <v>431</v>
      </c>
      <c r="X465" t="b">
        <f>VLOOKUP(B465,'M10B Order'!B:F,5,FALSE)=W465</f>
        <v>1</v>
      </c>
    </row>
    <row r="466" spans="1:27" x14ac:dyDescent="0.2">
      <c r="A466" s="19">
        <v>579057995</v>
      </c>
      <c r="B466" s="19" t="s">
        <v>1261</v>
      </c>
      <c r="C466" s="19" t="s">
        <v>1262</v>
      </c>
      <c r="D466" s="19" t="s">
        <v>1250</v>
      </c>
      <c r="E466" s="19" t="s">
        <v>1778</v>
      </c>
      <c r="F466" s="19">
        <v>508804198</v>
      </c>
      <c r="G466" s="19">
        <v>4</v>
      </c>
      <c r="H466" s="19">
        <v>4</v>
      </c>
      <c r="I466" s="19">
        <v>186</v>
      </c>
      <c r="J466" s="25">
        <v>1</v>
      </c>
      <c r="K466" s="26">
        <v>0</v>
      </c>
      <c r="L466" s="26">
        <v>824</v>
      </c>
      <c r="M466" s="26">
        <v>9</v>
      </c>
      <c r="N466" s="26">
        <v>8</v>
      </c>
      <c r="O466" s="27">
        <v>17</v>
      </c>
      <c r="P466" s="19">
        <v>12</v>
      </c>
      <c r="Q466" s="19">
        <v>1</v>
      </c>
      <c r="R466" s="19" t="s">
        <v>431</v>
      </c>
      <c r="S466" s="26">
        <v>0</v>
      </c>
      <c r="T466" s="28" t="s">
        <v>1933</v>
      </c>
      <c r="U466" s="19">
        <v>0</v>
      </c>
      <c r="V466" s="19" t="s">
        <v>431</v>
      </c>
      <c r="X466" t="b">
        <f>VLOOKUP(B466,'M10B Order'!B:F,5,FALSE)=W466</f>
        <v>1</v>
      </c>
    </row>
    <row r="467" spans="1:27" x14ac:dyDescent="0.2">
      <c r="A467" s="19">
        <v>579058091</v>
      </c>
      <c r="B467" s="19" t="s">
        <v>1263</v>
      </c>
      <c r="C467" s="19" t="s">
        <v>1264</v>
      </c>
      <c r="D467" s="19" t="s">
        <v>1250</v>
      </c>
      <c r="E467" s="19" t="s">
        <v>1778</v>
      </c>
      <c r="F467" s="19">
        <v>508804198</v>
      </c>
      <c r="G467" s="19">
        <v>4</v>
      </c>
      <c r="H467" s="19">
        <v>4</v>
      </c>
      <c r="I467" s="19">
        <v>186</v>
      </c>
      <c r="J467" s="25">
        <v>0.99462399999999995</v>
      </c>
      <c r="K467" s="26">
        <v>3.9997440000000353</v>
      </c>
      <c r="L467" s="26">
        <v>1560</v>
      </c>
      <c r="M467" s="26">
        <v>9</v>
      </c>
      <c r="N467" s="26">
        <v>8</v>
      </c>
      <c r="O467" s="27">
        <v>17</v>
      </c>
      <c r="P467" s="19">
        <v>12</v>
      </c>
      <c r="Q467" s="19">
        <v>1</v>
      </c>
      <c r="R467" s="19" t="s">
        <v>431</v>
      </c>
      <c r="S467" s="26">
        <v>0</v>
      </c>
      <c r="T467" s="28" t="s">
        <v>1933</v>
      </c>
      <c r="U467" s="19">
        <v>0</v>
      </c>
      <c r="V467" s="19" t="s">
        <v>431</v>
      </c>
      <c r="X467" t="b">
        <f>VLOOKUP(B467,'M10B Order'!B:F,5,FALSE)=W467</f>
        <v>1</v>
      </c>
    </row>
    <row r="468" spans="1:27" x14ac:dyDescent="0.2">
      <c r="A468" s="19">
        <v>579058057</v>
      </c>
      <c r="B468" s="19" t="s">
        <v>1265</v>
      </c>
      <c r="C468" s="19" t="s">
        <v>1266</v>
      </c>
      <c r="D468" s="19" t="s">
        <v>1250</v>
      </c>
      <c r="E468" s="19" t="s">
        <v>1778</v>
      </c>
      <c r="F468" s="19">
        <v>508804198</v>
      </c>
      <c r="G468" s="19">
        <v>4</v>
      </c>
      <c r="H468" s="19">
        <v>4</v>
      </c>
      <c r="I468" s="19">
        <v>186</v>
      </c>
      <c r="J468" s="25">
        <v>0.99462399999999995</v>
      </c>
      <c r="K468" s="26">
        <v>3.9997440000000353</v>
      </c>
      <c r="L468" s="26">
        <v>632</v>
      </c>
      <c r="M468" s="26">
        <v>9</v>
      </c>
      <c r="N468" s="26">
        <v>8</v>
      </c>
      <c r="O468" s="27">
        <v>17</v>
      </c>
      <c r="P468" s="19">
        <v>12</v>
      </c>
      <c r="Q468" s="19">
        <v>1</v>
      </c>
      <c r="R468" s="19" t="s">
        <v>431</v>
      </c>
      <c r="S468" s="26">
        <v>0</v>
      </c>
      <c r="T468" s="28" t="s">
        <v>1933</v>
      </c>
      <c r="U468" s="19">
        <v>0</v>
      </c>
      <c r="V468" s="19" t="s">
        <v>431</v>
      </c>
      <c r="X468" t="b">
        <f>VLOOKUP(B468,'M10B Order'!B:F,5,FALSE)=W468</f>
        <v>1</v>
      </c>
    </row>
    <row r="469" spans="1:27" x14ac:dyDescent="0.2">
      <c r="A469" s="19">
        <v>579058117</v>
      </c>
      <c r="B469" s="19" t="s">
        <v>1267</v>
      </c>
      <c r="C469" s="19" t="s">
        <v>1268</v>
      </c>
      <c r="D469" s="19" t="s">
        <v>1250</v>
      </c>
      <c r="E469" s="19" t="s">
        <v>1778</v>
      </c>
      <c r="F469" s="19">
        <v>508804198</v>
      </c>
      <c r="G469" s="19">
        <v>4</v>
      </c>
      <c r="H469" s="19">
        <v>4</v>
      </c>
      <c r="I469" s="19">
        <v>186</v>
      </c>
      <c r="J469" s="25">
        <v>0.94086000000000003</v>
      </c>
      <c r="K469" s="26">
        <v>44.00015999999998</v>
      </c>
      <c r="L469" s="26">
        <v>2076</v>
      </c>
      <c r="M469" s="26">
        <v>9</v>
      </c>
      <c r="N469" s="26">
        <v>8</v>
      </c>
      <c r="O469" s="27">
        <v>17</v>
      </c>
      <c r="P469" s="19">
        <v>12</v>
      </c>
      <c r="Q469" s="19">
        <v>1</v>
      </c>
      <c r="R469" s="19" t="s">
        <v>431</v>
      </c>
      <c r="S469" s="26">
        <v>0</v>
      </c>
      <c r="T469" s="28" t="s">
        <v>1933</v>
      </c>
      <c r="U469" s="19">
        <v>0</v>
      </c>
      <c r="V469" s="19" t="s">
        <v>431</v>
      </c>
      <c r="X469" t="b">
        <f>VLOOKUP(B469,'M10B Order'!B:F,5,FALSE)=W469</f>
        <v>1</v>
      </c>
    </row>
    <row r="470" spans="1:27" x14ac:dyDescent="0.2">
      <c r="A470" s="19">
        <v>579058096</v>
      </c>
      <c r="B470" s="19" t="s">
        <v>1269</v>
      </c>
      <c r="C470" s="19" t="s">
        <v>1270</v>
      </c>
      <c r="D470" s="19" t="s">
        <v>1250</v>
      </c>
      <c r="E470" s="19" t="s">
        <v>1778</v>
      </c>
      <c r="F470" s="19">
        <v>508804198</v>
      </c>
      <c r="G470" s="19">
        <v>4</v>
      </c>
      <c r="H470" s="19">
        <v>4</v>
      </c>
      <c r="I470" s="19">
        <v>186</v>
      </c>
      <c r="J470" s="25">
        <v>0.978495</v>
      </c>
      <c r="K470" s="26">
        <v>15.999719999999996</v>
      </c>
      <c r="L470" s="26">
        <v>2320</v>
      </c>
      <c r="M470" s="26">
        <v>9</v>
      </c>
      <c r="N470" s="26">
        <v>8</v>
      </c>
      <c r="O470" s="27">
        <v>17</v>
      </c>
      <c r="P470" s="19">
        <v>12</v>
      </c>
      <c r="Q470" s="19">
        <v>1</v>
      </c>
      <c r="R470" s="19" t="s">
        <v>431</v>
      </c>
      <c r="S470" s="26">
        <v>0</v>
      </c>
      <c r="T470" s="28" t="s">
        <v>1933</v>
      </c>
      <c r="U470" s="19">
        <v>0</v>
      </c>
      <c r="V470" s="19" t="s">
        <v>431</v>
      </c>
      <c r="X470" t="b">
        <f>VLOOKUP(B470,'M10B Order'!B:F,5,FALSE)=W470</f>
        <v>1</v>
      </c>
    </row>
    <row r="471" spans="1:27" x14ac:dyDescent="0.2">
      <c r="A471" s="19">
        <v>579058107</v>
      </c>
      <c r="B471" s="19" t="s">
        <v>1271</v>
      </c>
      <c r="C471" s="19" t="s">
        <v>1272</v>
      </c>
      <c r="D471" s="19" t="s">
        <v>1250</v>
      </c>
      <c r="E471" s="19" t="s">
        <v>1778</v>
      </c>
      <c r="F471" s="19">
        <v>508804198</v>
      </c>
      <c r="G471" s="19">
        <v>4</v>
      </c>
      <c r="H471" s="19">
        <v>4</v>
      </c>
      <c r="I471" s="19">
        <v>186</v>
      </c>
      <c r="J471" s="25">
        <v>0.99462399999999995</v>
      </c>
      <c r="K471" s="26">
        <v>3.9997440000000353</v>
      </c>
      <c r="L471" s="26">
        <v>2020</v>
      </c>
      <c r="M471" s="26">
        <v>9</v>
      </c>
      <c r="N471" s="26">
        <v>8</v>
      </c>
      <c r="O471" s="27">
        <v>17</v>
      </c>
      <c r="P471" s="19">
        <v>12</v>
      </c>
      <c r="Q471" s="19">
        <v>1</v>
      </c>
      <c r="R471" s="19" t="s">
        <v>431</v>
      </c>
      <c r="S471" s="26">
        <v>0</v>
      </c>
      <c r="T471" s="28" t="s">
        <v>1933</v>
      </c>
      <c r="U471" s="19">
        <v>0</v>
      </c>
      <c r="V471" s="19" t="s">
        <v>431</v>
      </c>
      <c r="X471" t="b">
        <f>VLOOKUP(B471,'M10B Order'!B:F,5,FALSE)=W471</f>
        <v>1</v>
      </c>
    </row>
    <row r="472" spans="1:27" x14ac:dyDescent="0.2">
      <c r="A472" s="19">
        <v>579058087</v>
      </c>
      <c r="B472" s="19" t="s">
        <v>1273</v>
      </c>
      <c r="C472" s="19" t="s">
        <v>1274</v>
      </c>
      <c r="D472" s="19" t="s">
        <v>1250</v>
      </c>
      <c r="E472" s="19" t="s">
        <v>1778</v>
      </c>
      <c r="F472" s="19">
        <v>508804198</v>
      </c>
      <c r="G472" s="19">
        <v>4</v>
      </c>
      <c r="H472" s="19">
        <v>4</v>
      </c>
      <c r="I472" s="19">
        <v>186</v>
      </c>
      <c r="J472" s="25">
        <v>0.99462399999999995</v>
      </c>
      <c r="K472" s="26">
        <v>3.9997440000000353</v>
      </c>
      <c r="L472" s="26">
        <v>2372</v>
      </c>
      <c r="M472" s="26">
        <v>9</v>
      </c>
      <c r="N472" s="26">
        <v>8</v>
      </c>
      <c r="O472" s="27">
        <v>17</v>
      </c>
      <c r="P472" s="19">
        <v>12</v>
      </c>
      <c r="Q472" s="19">
        <v>1</v>
      </c>
      <c r="R472" s="19" t="s">
        <v>431</v>
      </c>
      <c r="S472" s="26">
        <v>0</v>
      </c>
      <c r="T472" s="28" t="s">
        <v>1933</v>
      </c>
      <c r="U472" s="19">
        <v>0</v>
      </c>
      <c r="V472" s="19" t="s">
        <v>431</v>
      </c>
      <c r="X472" t="b">
        <f>VLOOKUP(B472,'M10B Order'!B:F,5,FALSE)=W472</f>
        <v>1</v>
      </c>
    </row>
    <row r="473" spans="1:27" x14ac:dyDescent="0.2">
      <c r="A473" s="19">
        <v>579058130</v>
      </c>
      <c r="B473" s="19" t="s">
        <v>1275</v>
      </c>
      <c r="C473" s="19" t="s">
        <v>1276</v>
      </c>
      <c r="D473" s="19" t="s">
        <v>1250</v>
      </c>
      <c r="E473" s="19" t="s">
        <v>1778</v>
      </c>
      <c r="F473" s="19">
        <v>508804198</v>
      </c>
      <c r="G473" s="19">
        <v>4</v>
      </c>
      <c r="H473" s="19">
        <v>4</v>
      </c>
      <c r="I473" s="19">
        <v>186</v>
      </c>
      <c r="J473" s="25">
        <v>0.99462399999999995</v>
      </c>
      <c r="K473" s="26">
        <v>3.9997440000000353</v>
      </c>
      <c r="L473" s="26">
        <v>176</v>
      </c>
      <c r="M473" s="26">
        <v>9</v>
      </c>
      <c r="N473" s="26">
        <v>8</v>
      </c>
      <c r="O473" s="27">
        <v>17</v>
      </c>
      <c r="P473" s="19">
        <v>12</v>
      </c>
      <c r="Q473" s="19">
        <v>1</v>
      </c>
      <c r="R473" s="19" t="s">
        <v>431</v>
      </c>
      <c r="S473" s="26">
        <v>0</v>
      </c>
      <c r="T473" s="28" t="s">
        <v>1933</v>
      </c>
      <c r="U473" s="19">
        <v>0</v>
      </c>
      <c r="V473" s="19" t="s">
        <v>431</v>
      </c>
      <c r="X473" t="b">
        <f>VLOOKUP(B473,'M10B Order'!B:F,5,FALSE)=W473</f>
        <v>1</v>
      </c>
    </row>
    <row r="474" spans="1:27" x14ac:dyDescent="0.2">
      <c r="A474" s="19">
        <v>579058123</v>
      </c>
      <c r="B474" s="19" t="s">
        <v>1280</v>
      </c>
      <c r="C474" s="19" t="s">
        <v>1281</v>
      </c>
      <c r="D474" s="19" t="s">
        <v>1250</v>
      </c>
      <c r="E474" s="19" t="s">
        <v>1778</v>
      </c>
      <c r="F474" s="19">
        <v>508804198</v>
      </c>
      <c r="G474" s="19">
        <v>4</v>
      </c>
      <c r="H474" s="19">
        <v>4</v>
      </c>
      <c r="I474" s="19">
        <v>186</v>
      </c>
      <c r="J474" s="25">
        <v>0.99462399999999995</v>
      </c>
      <c r="K474" s="26">
        <v>3.9997440000000353</v>
      </c>
      <c r="L474" s="26">
        <v>2248</v>
      </c>
      <c r="M474" s="26">
        <v>9</v>
      </c>
      <c r="N474" s="26">
        <v>8</v>
      </c>
      <c r="O474" s="27">
        <v>17</v>
      </c>
      <c r="P474" s="19">
        <v>12</v>
      </c>
      <c r="Q474" s="19">
        <v>1</v>
      </c>
      <c r="R474" s="19" t="s">
        <v>431</v>
      </c>
      <c r="S474" s="26">
        <v>0</v>
      </c>
      <c r="T474" s="28" t="s">
        <v>1933</v>
      </c>
      <c r="U474" s="19">
        <v>0</v>
      </c>
      <c r="V474" s="19" t="s">
        <v>431</v>
      </c>
      <c r="X474" t="b">
        <f>VLOOKUP(B474,'M10B Order'!B:F,5,FALSE)=W474</f>
        <v>1</v>
      </c>
    </row>
    <row r="475" spans="1:27" x14ac:dyDescent="0.2">
      <c r="A475" s="19">
        <v>579058132</v>
      </c>
      <c r="B475" s="19" t="s">
        <v>1282</v>
      </c>
      <c r="C475" s="19" t="s">
        <v>1283</v>
      </c>
      <c r="D475" s="19" t="s">
        <v>1250</v>
      </c>
      <c r="E475" s="19" t="s">
        <v>1778</v>
      </c>
      <c r="F475" s="19">
        <v>508804198</v>
      </c>
      <c r="G475" s="19">
        <v>4</v>
      </c>
      <c r="H475" s="19">
        <v>4</v>
      </c>
      <c r="I475" s="19">
        <v>186</v>
      </c>
      <c r="J475" s="25">
        <v>1</v>
      </c>
      <c r="K475" s="26">
        <v>0</v>
      </c>
      <c r="L475" s="26">
        <v>2432</v>
      </c>
      <c r="M475" s="26">
        <v>9</v>
      </c>
      <c r="N475" s="26">
        <v>8</v>
      </c>
      <c r="O475" s="27">
        <v>17</v>
      </c>
      <c r="P475" s="19">
        <v>12</v>
      </c>
      <c r="Q475" s="19">
        <v>1</v>
      </c>
      <c r="R475" s="19" t="s">
        <v>431</v>
      </c>
      <c r="S475" s="26">
        <v>0</v>
      </c>
      <c r="T475" s="28" t="s">
        <v>1933</v>
      </c>
      <c r="U475" s="19">
        <v>0</v>
      </c>
      <c r="V475" s="19" t="s">
        <v>431</v>
      </c>
      <c r="X475" t="b">
        <f>VLOOKUP(B475,'M10B Order'!B:F,5,FALSE)=W475</f>
        <v>1</v>
      </c>
    </row>
    <row r="476" spans="1:27" x14ac:dyDescent="0.2">
      <c r="A476" s="19">
        <v>579058072</v>
      </c>
      <c r="B476" s="19" t="s">
        <v>1284</v>
      </c>
      <c r="C476" s="19" t="s">
        <v>1285</v>
      </c>
      <c r="D476" s="19" t="s">
        <v>1250</v>
      </c>
      <c r="E476" s="19" t="s">
        <v>1778</v>
      </c>
      <c r="F476" s="19">
        <v>508804198</v>
      </c>
      <c r="G476" s="19">
        <v>4</v>
      </c>
      <c r="H476" s="19">
        <v>4</v>
      </c>
      <c r="I476" s="19">
        <v>186</v>
      </c>
      <c r="J476" s="25">
        <v>0.99462399999999995</v>
      </c>
      <c r="K476" s="26">
        <v>3.9997440000000353</v>
      </c>
      <c r="L476" s="26">
        <v>1612</v>
      </c>
      <c r="M476" s="26">
        <v>9</v>
      </c>
      <c r="N476" s="26">
        <v>8</v>
      </c>
      <c r="O476" s="27">
        <v>17</v>
      </c>
      <c r="P476" s="19">
        <v>12</v>
      </c>
      <c r="Q476" s="19">
        <v>1</v>
      </c>
      <c r="R476" s="19" t="s">
        <v>431</v>
      </c>
      <c r="S476" s="26">
        <v>0</v>
      </c>
      <c r="T476" s="28" t="s">
        <v>1933</v>
      </c>
      <c r="U476" s="19">
        <v>0</v>
      </c>
      <c r="V476" s="19" t="s">
        <v>431</v>
      </c>
      <c r="X476" t="b">
        <f>VLOOKUP(B476,'M10B Order'!B:F,5,FALSE)=W476</f>
        <v>1</v>
      </c>
    </row>
    <row r="477" spans="1:27" x14ac:dyDescent="0.2">
      <c r="A477" s="19">
        <v>579058124</v>
      </c>
      <c r="B477" s="19" t="s">
        <v>1286</v>
      </c>
      <c r="C477" s="19" t="s">
        <v>1287</v>
      </c>
      <c r="D477" s="19" t="s">
        <v>1250</v>
      </c>
      <c r="E477" s="19" t="s">
        <v>1778</v>
      </c>
      <c r="F477" s="19">
        <v>508804198</v>
      </c>
      <c r="G477" s="19">
        <v>4</v>
      </c>
      <c r="H477" s="19">
        <v>4</v>
      </c>
      <c r="I477" s="19">
        <v>186</v>
      </c>
      <c r="J477" s="25">
        <v>1</v>
      </c>
      <c r="K477" s="26">
        <v>0</v>
      </c>
      <c r="L477" s="26">
        <v>1912</v>
      </c>
      <c r="M477" s="26">
        <v>9</v>
      </c>
      <c r="N477" s="26">
        <v>8</v>
      </c>
      <c r="O477" s="27">
        <v>17</v>
      </c>
      <c r="P477" s="19">
        <v>12</v>
      </c>
      <c r="Q477" s="19">
        <v>1</v>
      </c>
      <c r="R477" s="19" t="s">
        <v>431</v>
      </c>
      <c r="S477" s="26">
        <v>0</v>
      </c>
      <c r="T477" s="28" t="s">
        <v>1933</v>
      </c>
      <c r="U477" s="19">
        <v>0</v>
      </c>
      <c r="V477" s="19" t="s">
        <v>431</v>
      </c>
      <c r="X477" t="b">
        <f>VLOOKUP(B477,'M10B Order'!B:F,5,FALSE)=W477</f>
        <v>1</v>
      </c>
    </row>
    <row r="478" spans="1:27" x14ac:dyDescent="0.2">
      <c r="A478" s="19">
        <v>579058125</v>
      </c>
      <c r="B478" s="19" t="s">
        <v>1288</v>
      </c>
      <c r="C478" s="19" t="s">
        <v>1289</v>
      </c>
      <c r="D478" s="19" t="s">
        <v>1250</v>
      </c>
      <c r="E478" s="19" t="s">
        <v>1778</v>
      </c>
      <c r="F478" s="19">
        <v>508804198</v>
      </c>
      <c r="G478" s="19">
        <v>4</v>
      </c>
      <c r="H478" s="19">
        <v>4</v>
      </c>
      <c r="I478" s="19">
        <v>186</v>
      </c>
      <c r="J478" s="25">
        <v>1</v>
      </c>
      <c r="K478" s="26">
        <v>0</v>
      </c>
      <c r="L478" s="26">
        <v>488</v>
      </c>
      <c r="M478" s="26">
        <v>9</v>
      </c>
      <c r="N478" s="26">
        <v>8</v>
      </c>
      <c r="O478" s="27">
        <v>17</v>
      </c>
      <c r="P478" s="19">
        <v>12</v>
      </c>
      <c r="Q478" s="19">
        <v>1</v>
      </c>
      <c r="R478" s="19" t="s">
        <v>431</v>
      </c>
      <c r="S478" s="26">
        <v>0</v>
      </c>
      <c r="T478" s="28" t="s">
        <v>1933</v>
      </c>
      <c r="U478" s="19">
        <v>0</v>
      </c>
      <c r="V478" s="19" t="s">
        <v>431</v>
      </c>
      <c r="X478" t="b">
        <f>VLOOKUP(B478,'M10B Order'!B:F,5,FALSE)=W478</f>
        <v>1</v>
      </c>
    </row>
    <row r="479" spans="1:27" s="13" customFormat="1" x14ac:dyDescent="0.2">
      <c r="A479" s="19">
        <v>579058127</v>
      </c>
      <c r="B479" s="19" t="s">
        <v>1292</v>
      </c>
      <c r="C479" s="19" t="s">
        <v>1293</v>
      </c>
      <c r="D479" s="19" t="s">
        <v>1250</v>
      </c>
      <c r="E479" s="19" t="s">
        <v>1778</v>
      </c>
      <c r="F479" s="19">
        <v>508804198</v>
      </c>
      <c r="G479" s="19">
        <v>4</v>
      </c>
      <c r="H479" s="19">
        <v>4</v>
      </c>
      <c r="I479" s="19">
        <v>186</v>
      </c>
      <c r="J479" s="25">
        <v>1</v>
      </c>
      <c r="K479" s="26">
        <v>0</v>
      </c>
      <c r="L479" s="26">
        <v>1280</v>
      </c>
      <c r="M479" s="26">
        <v>9</v>
      </c>
      <c r="N479" s="26">
        <v>8</v>
      </c>
      <c r="O479" s="27">
        <v>17</v>
      </c>
      <c r="P479" s="19">
        <v>12</v>
      </c>
      <c r="Q479" s="19">
        <v>1</v>
      </c>
      <c r="R479" s="19" t="s">
        <v>431</v>
      </c>
      <c r="S479" s="26">
        <v>0</v>
      </c>
      <c r="T479" s="28" t="s">
        <v>1933</v>
      </c>
      <c r="U479" s="19">
        <v>0</v>
      </c>
      <c r="V479" s="19" t="s">
        <v>431</v>
      </c>
      <c r="X479" t="b">
        <f>VLOOKUP(B479,'M10B Order'!B:F,5,FALSE)=W479</f>
        <v>1</v>
      </c>
      <c r="AA479"/>
    </row>
    <row r="480" spans="1:27" x14ac:dyDescent="0.2">
      <c r="A480" s="19">
        <v>579058126</v>
      </c>
      <c r="B480" s="19" t="s">
        <v>1294</v>
      </c>
      <c r="C480" s="19" t="s">
        <v>1295</v>
      </c>
      <c r="D480" s="19" t="s">
        <v>1250</v>
      </c>
      <c r="E480" s="19" t="s">
        <v>1778</v>
      </c>
      <c r="F480" s="19">
        <v>508804198</v>
      </c>
      <c r="G480" s="19">
        <v>4</v>
      </c>
      <c r="H480" s="19">
        <v>4</v>
      </c>
      <c r="I480" s="19">
        <v>186</v>
      </c>
      <c r="J480" s="25">
        <v>1</v>
      </c>
      <c r="K480" s="26">
        <v>0</v>
      </c>
      <c r="L480" s="26">
        <v>1160</v>
      </c>
      <c r="M480" s="26">
        <v>9</v>
      </c>
      <c r="N480" s="26">
        <v>8</v>
      </c>
      <c r="O480" s="27">
        <v>17</v>
      </c>
      <c r="P480" s="19">
        <v>12</v>
      </c>
      <c r="Q480" s="19">
        <v>1</v>
      </c>
      <c r="R480" s="19" t="s">
        <v>431</v>
      </c>
      <c r="S480" s="26">
        <v>0</v>
      </c>
      <c r="T480" s="28" t="s">
        <v>1933</v>
      </c>
      <c r="U480" s="19">
        <v>0</v>
      </c>
      <c r="V480" s="19" t="s">
        <v>431</v>
      </c>
      <c r="X480" t="b">
        <f>VLOOKUP(B480,'M10B Order'!B:F,5,FALSE)=W480</f>
        <v>1</v>
      </c>
    </row>
    <row r="481" spans="1:24" x14ac:dyDescent="0.2">
      <c r="A481" s="19">
        <v>579058139</v>
      </c>
      <c r="B481" s="19" t="s">
        <v>1296</v>
      </c>
      <c r="C481" s="19" t="s">
        <v>1297</v>
      </c>
      <c r="D481" s="19" t="s">
        <v>1250</v>
      </c>
      <c r="E481" s="19" t="s">
        <v>1778</v>
      </c>
      <c r="F481" s="19">
        <v>508804198</v>
      </c>
      <c r="G481" s="19">
        <v>4</v>
      </c>
      <c r="H481" s="19">
        <v>4</v>
      </c>
      <c r="I481" s="19">
        <v>186</v>
      </c>
      <c r="J481" s="25">
        <v>0.98924699999999999</v>
      </c>
      <c r="K481" s="26">
        <v>8.0002320000000093</v>
      </c>
      <c r="L481" s="26">
        <v>2076</v>
      </c>
      <c r="M481" s="26">
        <v>9</v>
      </c>
      <c r="N481" s="26">
        <v>8</v>
      </c>
      <c r="O481" s="27">
        <v>17</v>
      </c>
      <c r="P481" s="19">
        <v>12</v>
      </c>
      <c r="Q481" s="19">
        <v>1</v>
      </c>
      <c r="R481" s="19" t="s">
        <v>431</v>
      </c>
      <c r="S481" s="26">
        <v>0</v>
      </c>
      <c r="T481" s="28" t="s">
        <v>1933</v>
      </c>
      <c r="U481" s="19">
        <v>0</v>
      </c>
      <c r="V481" s="19" t="s">
        <v>431</v>
      </c>
      <c r="X481" t="b">
        <f>VLOOKUP(B481,'M10B Order'!B:F,5,FALSE)=W481</f>
        <v>1</v>
      </c>
    </row>
    <row r="482" spans="1:24" x14ac:dyDescent="0.2">
      <c r="A482" s="19">
        <v>579058131</v>
      </c>
      <c r="B482" s="19" t="s">
        <v>1298</v>
      </c>
      <c r="C482" s="19" t="s">
        <v>1299</v>
      </c>
      <c r="D482" s="19" t="s">
        <v>1250</v>
      </c>
      <c r="E482" s="19" t="s">
        <v>1778</v>
      </c>
      <c r="F482" s="19">
        <v>508804198</v>
      </c>
      <c r="G482" s="19">
        <v>4</v>
      </c>
      <c r="H482" s="19">
        <v>4</v>
      </c>
      <c r="I482" s="19">
        <v>186</v>
      </c>
      <c r="J482" s="25">
        <v>1</v>
      </c>
      <c r="K482" s="26">
        <v>0</v>
      </c>
      <c r="L482" s="26">
        <v>836</v>
      </c>
      <c r="M482" s="26">
        <v>9</v>
      </c>
      <c r="N482" s="26">
        <v>8</v>
      </c>
      <c r="O482" s="27">
        <v>17</v>
      </c>
      <c r="P482" s="19">
        <v>12</v>
      </c>
      <c r="Q482" s="19">
        <v>1</v>
      </c>
      <c r="R482" s="19" t="s">
        <v>431</v>
      </c>
      <c r="S482" s="26">
        <v>0</v>
      </c>
      <c r="T482" s="28">
        <v>32</v>
      </c>
      <c r="U482" s="19">
        <v>0</v>
      </c>
      <c r="V482" s="19" t="s">
        <v>431</v>
      </c>
      <c r="X482" t="b">
        <f>VLOOKUP(B482,'M10B Order'!B:F,5,FALSE)=W482</f>
        <v>1</v>
      </c>
    </row>
    <row r="483" spans="1:24" x14ac:dyDescent="0.2">
      <c r="A483" s="19">
        <v>579058138</v>
      </c>
      <c r="B483" s="19" t="s">
        <v>1300</v>
      </c>
      <c r="C483" s="19" t="s">
        <v>1301</v>
      </c>
      <c r="D483" s="19" t="s">
        <v>1250</v>
      </c>
      <c r="E483" s="19" t="s">
        <v>1778</v>
      </c>
      <c r="F483" s="19">
        <v>508804198</v>
      </c>
      <c r="G483" s="19">
        <v>4</v>
      </c>
      <c r="H483" s="19">
        <v>4</v>
      </c>
      <c r="I483" s="19">
        <v>186</v>
      </c>
      <c r="J483" s="25">
        <v>0.98924699999999999</v>
      </c>
      <c r="K483" s="26">
        <v>8.0002320000000093</v>
      </c>
      <c r="L483" s="26">
        <v>2144</v>
      </c>
      <c r="M483" s="26">
        <v>9</v>
      </c>
      <c r="N483" s="26">
        <v>8</v>
      </c>
      <c r="O483" s="27">
        <v>17</v>
      </c>
      <c r="P483" s="19">
        <v>12</v>
      </c>
      <c r="Q483" s="19">
        <v>1</v>
      </c>
      <c r="R483" s="19" t="s">
        <v>431</v>
      </c>
      <c r="S483" s="26">
        <v>0</v>
      </c>
      <c r="T483" s="28" t="s">
        <v>1933</v>
      </c>
      <c r="U483" s="19">
        <v>0</v>
      </c>
      <c r="V483" s="19" t="s">
        <v>431</v>
      </c>
      <c r="X483" t="b">
        <f>VLOOKUP(B483,'M10B Order'!B:F,5,FALSE)=W483</f>
        <v>1</v>
      </c>
    </row>
    <row r="484" spans="1:24" x14ac:dyDescent="0.2">
      <c r="A484" s="19">
        <v>579058145</v>
      </c>
      <c r="B484" s="19" t="s">
        <v>1302</v>
      </c>
      <c r="C484" s="19" t="s">
        <v>1303</v>
      </c>
      <c r="D484" s="19" t="s">
        <v>1250</v>
      </c>
      <c r="E484" s="19" t="s">
        <v>1778</v>
      </c>
      <c r="F484" s="19">
        <v>508804198</v>
      </c>
      <c r="G484" s="19">
        <v>4</v>
      </c>
      <c r="H484" s="19">
        <v>4</v>
      </c>
      <c r="I484" s="19">
        <v>186</v>
      </c>
      <c r="J484" s="25">
        <v>0.96774199999999999</v>
      </c>
      <c r="K484" s="26">
        <v>23.999952000000008</v>
      </c>
      <c r="L484" s="26">
        <v>24</v>
      </c>
      <c r="M484" s="26">
        <v>9</v>
      </c>
      <c r="N484" s="26">
        <v>8</v>
      </c>
      <c r="O484" s="27">
        <v>17</v>
      </c>
      <c r="P484" s="19">
        <v>12</v>
      </c>
      <c r="Q484" s="19">
        <v>1</v>
      </c>
      <c r="R484" s="19" t="s">
        <v>431</v>
      </c>
      <c r="S484" s="26">
        <v>0</v>
      </c>
      <c r="T484" s="28">
        <v>31</v>
      </c>
      <c r="U484" s="19">
        <v>0</v>
      </c>
      <c r="V484" s="19" t="s">
        <v>431</v>
      </c>
      <c r="X484" t="b">
        <f>VLOOKUP(B484,'M10B Order'!B:F,5,FALSE)=W484</f>
        <v>1</v>
      </c>
    </row>
    <row r="485" spans="1:24" x14ac:dyDescent="0.2">
      <c r="A485" s="19">
        <v>579058141</v>
      </c>
      <c r="B485" s="19" t="s">
        <v>1304</v>
      </c>
      <c r="C485" s="19" t="s">
        <v>1305</v>
      </c>
      <c r="D485" s="19" t="s">
        <v>1250</v>
      </c>
      <c r="E485" s="19" t="s">
        <v>1778</v>
      </c>
      <c r="F485" s="19">
        <v>508804198</v>
      </c>
      <c r="G485" s="19">
        <v>4</v>
      </c>
      <c r="H485" s="19">
        <v>4</v>
      </c>
      <c r="I485" s="19">
        <v>186</v>
      </c>
      <c r="J485" s="25">
        <v>0.99462399999999995</v>
      </c>
      <c r="K485" s="26">
        <v>3.9997440000000353</v>
      </c>
      <c r="L485" s="26">
        <v>784</v>
      </c>
      <c r="M485" s="26">
        <v>9</v>
      </c>
      <c r="N485" s="26">
        <v>8</v>
      </c>
      <c r="O485" s="27">
        <v>17</v>
      </c>
      <c r="P485" s="19">
        <v>12</v>
      </c>
      <c r="Q485" s="19">
        <v>1</v>
      </c>
      <c r="R485" s="19" t="s">
        <v>431</v>
      </c>
      <c r="S485" s="26">
        <v>0</v>
      </c>
      <c r="T485" s="28" t="s">
        <v>1933</v>
      </c>
      <c r="U485" s="19">
        <v>0</v>
      </c>
      <c r="V485" s="19" t="s">
        <v>431</v>
      </c>
      <c r="X485" t="b">
        <f>VLOOKUP(B485,'M10B Order'!B:F,5,FALSE)=W485</f>
        <v>1</v>
      </c>
    </row>
    <row r="486" spans="1:24" x14ac:dyDescent="0.2">
      <c r="A486" s="19">
        <v>579058154</v>
      </c>
      <c r="B486" s="19" t="s">
        <v>1306</v>
      </c>
      <c r="C486" s="19" t="s">
        <v>1307</v>
      </c>
      <c r="D486" s="19" t="s">
        <v>1250</v>
      </c>
      <c r="E486" s="19" t="s">
        <v>1778</v>
      </c>
      <c r="F486" s="19">
        <v>508804198</v>
      </c>
      <c r="G486" s="19">
        <v>4</v>
      </c>
      <c r="H486" s="19">
        <v>4</v>
      </c>
      <c r="I486" s="19">
        <v>186</v>
      </c>
      <c r="J486" s="25">
        <v>0.99462399999999995</v>
      </c>
      <c r="K486" s="26">
        <v>3.9997440000000353</v>
      </c>
      <c r="L486" s="26">
        <v>8</v>
      </c>
      <c r="M486" s="26">
        <v>9</v>
      </c>
      <c r="N486" s="26">
        <v>8</v>
      </c>
      <c r="O486" s="27">
        <v>17</v>
      </c>
      <c r="P486" s="19">
        <v>12</v>
      </c>
      <c r="Q486" s="19">
        <v>1</v>
      </c>
      <c r="R486" s="19" t="s">
        <v>431</v>
      </c>
      <c r="S486" s="26">
        <v>0</v>
      </c>
      <c r="T486" s="28" t="s">
        <v>1933</v>
      </c>
      <c r="U486" s="19">
        <v>0</v>
      </c>
      <c r="V486" s="19" t="s">
        <v>431</v>
      </c>
      <c r="X486" t="b">
        <f>VLOOKUP(B486,'M10B Order'!B:F,5,FALSE)=W486</f>
        <v>1</v>
      </c>
    </row>
    <row r="487" spans="1:24" x14ac:dyDescent="0.2">
      <c r="A487" s="19">
        <v>579058143</v>
      </c>
      <c r="B487" s="19" t="s">
        <v>1308</v>
      </c>
      <c r="C487" s="19" t="s">
        <v>1309</v>
      </c>
      <c r="D487" s="19" t="s">
        <v>1250</v>
      </c>
      <c r="E487" s="19" t="s">
        <v>1778</v>
      </c>
      <c r="F487" s="19">
        <v>508804198</v>
      </c>
      <c r="G487" s="19">
        <v>4</v>
      </c>
      <c r="H487" s="19">
        <v>4</v>
      </c>
      <c r="I487" s="19">
        <v>186</v>
      </c>
      <c r="J487" s="25">
        <v>0.98924699999999999</v>
      </c>
      <c r="K487" s="26">
        <v>8.0002320000000093</v>
      </c>
      <c r="L487" s="26">
        <v>2472</v>
      </c>
      <c r="M487" s="26">
        <v>9</v>
      </c>
      <c r="N487" s="26">
        <v>8</v>
      </c>
      <c r="O487" s="27">
        <v>17</v>
      </c>
      <c r="P487" s="19">
        <v>12</v>
      </c>
      <c r="Q487" s="19">
        <v>1</v>
      </c>
      <c r="R487" s="19" t="s">
        <v>431</v>
      </c>
      <c r="S487" s="26">
        <v>0</v>
      </c>
      <c r="T487" s="28" t="s">
        <v>1933</v>
      </c>
      <c r="U487" s="19">
        <v>0</v>
      </c>
      <c r="V487" s="19" t="s">
        <v>431</v>
      </c>
      <c r="X487" t="b">
        <f>VLOOKUP(B487,'M10B Order'!B:F,5,FALSE)=W487</f>
        <v>1</v>
      </c>
    </row>
    <row r="488" spans="1:24" x14ac:dyDescent="0.2">
      <c r="A488" s="19">
        <v>579058153</v>
      </c>
      <c r="B488" s="19" t="s">
        <v>1310</v>
      </c>
      <c r="C488" s="19" t="s">
        <v>1311</v>
      </c>
      <c r="D488" s="19" t="s">
        <v>1250</v>
      </c>
      <c r="E488" s="19" t="s">
        <v>1778</v>
      </c>
      <c r="F488" s="19">
        <v>508804198</v>
      </c>
      <c r="G488" s="19">
        <v>4</v>
      </c>
      <c r="H488" s="19">
        <v>4</v>
      </c>
      <c r="I488" s="19">
        <v>186</v>
      </c>
      <c r="J488" s="25">
        <v>0.98924699999999999</v>
      </c>
      <c r="K488" s="26">
        <v>8.0002320000000093</v>
      </c>
      <c r="L488" s="26">
        <v>688</v>
      </c>
      <c r="M488" s="26">
        <v>9</v>
      </c>
      <c r="N488" s="26">
        <v>8</v>
      </c>
      <c r="O488" s="27">
        <v>17</v>
      </c>
      <c r="P488" s="19">
        <v>12</v>
      </c>
      <c r="Q488" s="19">
        <v>1</v>
      </c>
      <c r="R488" s="19" t="s">
        <v>431</v>
      </c>
      <c r="S488" s="26">
        <v>0</v>
      </c>
      <c r="T488" s="28">
        <v>14</v>
      </c>
      <c r="U488" s="19">
        <v>0</v>
      </c>
      <c r="V488" s="19" t="s">
        <v>431</v>
      </c>
      <c r="X488" t="b">
        <f>VLOOKUP(B488,'M10B Order'!B:F,5,FALSE)=W488</f>
        <v>1</v>
      </c>
    </row>
    <row r="489" spans="1:24" x14ac:dyDescent="0.2">
      <c r="A489" s="19">
        <v>579058182</v>
      </c>
      <c r="B489" s="19" t="s">
        <v>1335</v>
      </c>
      <c r="C489" s="19" t="s">
        <v>1336</v>
      </c>
      <c r="D489" s="19" t="s">
        <v>1250</v>
      </c>
      <c r="E489" s="19" t="s">
        <v>1778</v>
      </c>
      <c r="F489" s="19">
        <v>508804198</v>
      </c>
      <c r="G489" s="19">
        <v>4</v>
      </c>
      <c r="H489" s="19">
        <v>4</v>
      </c>
      <c r="I489" s="19">
        <v>186</v>
      </c>
      <c r="J489" s="25">
        <v>1</v>
      </c>
      <c r="K489" s="26">
        <v>0</v>
      </c>
      <c r="L489" s="26">
        <v>1832</v>
      </c>
      <c r="M489" s="26">
        <v>9</v>
      </c>
      <c r="N489" s="26">
        <v>8</v>
      </c>
      <c r="O489" s="27">
        <v>17</v>
      </c>
      <c r="P489" s="19">
        <v>12</v>
      </c>
      <c r="Q489" s="19">
        <v>1</v>
      </c>
      <c r="R489" s="19" t="s">
        <v>431</v>
      </c>
      <c r="S489" s="26">
        <v>0</v>
      </c>
      <c r="T489" s="28" t="s">
        <v>1933</v>
      </c>
      <c r="U489" s="19">
        <v>0</v>
      </c>
      <c r="V489" s="19" t="s">
        <v>431</v>
      </c>
      <c r="X489" t="b">
        <f>VLOOKUP(B489,'M10B Order'!B:F,5,FALSE)=W489</f>
        <v>1</v>
      </c>
    </row>
    <row r="490" spans="1:24" x14ac:dyDescent="0.2">
      <c r="A490" s="19">
        <v>579058142</v>
      </c>
      <c r="B490" s="19" t="s">
        <v>1312</v>
      </c>
      <c r="C490" s="19" t="s">
        <v>1313</v>
      </c>
      <c r="D490" s="19" t="s">
        <v>1277</v>
      </c>
      <c r="E490" s="19" t="s">
        <v>1777</v>
      </c>
      <c r="F490" s="19">
        <v>508804198</v>
      </c>
      <c r="G490" s="19">
        <v>4</v>
      </c>
      <c r="H490" s="19">
        <v>4</v>
      </c>
      <c r="I490" s="19">
        <v>186</v>
      </c>
      <c r="J490" s="25">
        <v>0.99462399999999995</v>
      </c>
      <c r="K490" s="26">
        <v>3.9997440000000353</v>
      </c>
      <c r="L490" s="26">
        <v>1964</v>
      </c>
      <c r="M490" s="26">
        <v>9</v>
      </c>
      <c r="N490" s="26">
        <v>8</v>
      </c>
      <c r="O490" s="27">
        <v>17</v>
      </c>
      <c r="P490" s="19">
        <v>22</v>
      </c>
      <c r="Q490" s="19">
        <v>4</v>
      </c>
      <c r="R490" s="19" t="s">
        <v>431</v>
      </c>
      <c r="S490" s="26">
        <v>0</v>
      </c>
      <c r="T490" s="28" t="s">
        <v>1933</v>
      </c>
      <c r="U490" s="19" t="s">
        <v>1352</v>
      </c>
      <c r="V490" s="19">
        <v>0</v>
      </c>
      <c r="X490" t="b">
        <f>VLOOKUP(B490,'M10B Order'!B:F,5,FALSE)=W490</f>
        <v>1</v>
      </c>
    </row>
    <row r="491" spans="1:24" x14ac:dyDescent="0.2">
      <c r="A491" s="19">
        <v>579058152</v>
      </c>
      <c r="B491" s="19" t="s">
        <v>1314</v>
      </c>
      <c r="C491" s="19" t="s">
        <v>1315</v>
      </c>
      <c r="D491" s="19" t="s">
        <v>1277</v>
      </c>
      <c r="E491" s="19" t="s">
        <v>1777</v>
      </c>
      <c r="F491" s="19">
        <v>508804198</v>
      </c>
      <c r="G491" s="19">
        <v>4</v>
      </c>
      <c r="H491" s="19">
        <v>4</v>
      </c>
      <c r="I491" s="19">
        <v>186</v>
      </c>
      <c r="J491" s="25">
        <v>0.90860200000000002</v>
      </c>
      <c r="K491" s="26">
        <v>68.000111999999987</v>
      </c>
      <c r="L491" s="26">
        <v>932</v>
      </c>
      <c r="M491" s="26">
        <v>9</v>
      </c>
      <c r="N491" s="26">
        <v>8</v>
      </c>
      <c r="O491" s="27">
        <v>17</v>
      </c>
      <c r="P491" s="19">
        <v>22</v>
      </c>
      <c r="Q491" s="19">
        <v>4</v>
      </c>
      <c r="R491" s="19" t="s">
        <v>431</v>
      </c>
      <c r="S491" s="26">
        <v>0</v>
      </c>
      <c r="T491" s="28">
        <v>30</v>
      </c>
      <c r="U491" s="19" t="s">
        <v>1317</v>
      </c>
      <c r="V491" s="19">
        <v>0</v>
      </c>
      <c r="X491" t="b">
        <f>VLOOKUP(B491,'M10B Order'!B:F,5,FALSE)=W491</f>
        <v>1</v>
      </c>
    </row>
    <row r="492" spans="1:24" x14ac:dyDescent="0.2">
      <c r="A492" s="19">
        <v>579058128</v>
      </c>
      <c r="B492" s="19" t="s">
        <v>1319</v>
      </c>
      <c r="C492" s="19" t="s">
        <v>1320</v>
      </c>
      <c r="D492" s="19" t="s">
        <v>1277</v>
      </c>
      <c r="E492" s="19" t="s">
        <v>1777</v>
      </c>
      <c r="F492" s="19">
        <v>508804198</v>
      </c>
      <c r="G492" s="19">
        <v>4</v>
      </c>
      <c r="H492" s="19">
        <v>4</v>
      </c>
      <c r="I492" s="19">
        <v>186</v>
      </c>
      <c r="J492" s="25">
        <v>0.98387100000000005</v>
      </c>
      <c r="K492" s="26">
        <v>11.999975999999961</v>
      </c>
      <c r="L492" s="26">
        <v>2388</v>
      </c>
      <c r="M492" s="26">
        <v>9</v>
      </c>
      <c r="N492" s="26">
        <v>8</v>
      </c>
      <c r="O492" s="27">
        <v>17</v>
      </c>
      <c r="P492" s="19">
        <v>22</v>
      </c>
      <c r="Q492" s="19">
        <v>4</v>
      </c>
      <c r="R492" s="19" t="s">
        <v>431</v>
      </c>
      <c r="S492" s="26">
        <v>0</v>
      </c>
      <c r="T492" s="28" t="s">
        <v>1933</v>
      </c>
      <c r="U492" s="19" t="s">
        <v>1366</v>
      </c>
      <c r="V492" s="19">
        <v>0</v>
      </c>
      <c r="X492" t="b">
        <f>VLOOKUP(B492,'M10B Order'!B:F,5,FALSE)=W492</f>
        <v>1</v>
      </c>
    </row>
    <row r="493" spans="1:24" x14ac:dyDescent="0.2">
      <c r="A493" s="19">
        <v>579058140</v>
      </c>
      <c r="B493" s="19" t="s">
        <v>1321</v>
      </c>
      <c r="C493" s="19" t="s">
        <v>1322</v>
      </c>
      <c r="D493" s="19" t="s">
        <v>1277</v>
      </c>
      <c r="E493" s="19" t="s">
        <v>1777</v>
      </c>
      <c r="F493" s="19">
        <v>508804198</v>
      </c>
      <c r="G493" s="19">
        <v>4</v>
      </c>
      <c r="H493" s="19">
        <v>4</v>
      </c>
      <c r="I493" s="19">
        <v>186</v>
      </c>
      <c r="J493" s="25">
        <v>1</v>
      </c>
      <c r="K493" s="26">
        <v>0</v>
      </c>
      <c r="L493" s="26">
        <v>1396</v>
      </c>
      <c r="M493" s="26">
        <v>9</v>
      </c>
      <c r="N493" s="26">
        <v>8</v>
      </c>
      <c r="O493" s="27">
        <v>17</v>
      </c>
      <c r="P493" s="19">
        <v>22</v>
      </c>
      <c r="Q493" s="19">
        <v>4</v>
      </c>
      <c r="R493" s="19" t="s">
        <v>431</v>
      </c>
      <c r="S493" s="26">
        <v>0</v>
      </c>
      <c r="T493" s="28">
        <v>28</v>
      </c>
      <c r="U493" s="19" t="s">
        <v>1368</v>
      </c>
      <c r="V493" s="19">
        <v>0</v>
      </c>
      <c r="X493" t="b">
        <f>VLOOKUP(B493,'M10B Order'!B:F,5,FALSE)=W493</f>
        <v>1</v>
      </c>
    </row>
    <row r="494" spans="1:24" x14ac:dyDescent="0.2">
      <c r="A494" s="19">
        <v>579058149</v>
      </c>
      <c r="B494" s="19" t="s">
        <v>1323</v>
      </c>
      <c r="C494" s="19" t="s">
        <v>1324</v>
      </c>
      <c r="D494" s="19" t="s">
        <v>1277</v>
      </c>
      <c r="E494" s="19" t="s">
        <v>1777</v>
      </c>
      <c r="F494" s="19">
        <v>508804198</v>
      </c>
      <c r="G494" s="19">
        <v>4</v>
      </c>
      <c r="H494" s="19">
        <v>4</v>
      </c>
      <c r="I494" s="19">
        <v>186</v>
      </c>
      <c r="J494" s="25">
        <v>0.98387100000000005</v>
      </c>
      <c r="K494" s="26">
        <v>11.999975999999961</v>
      </c>
      <c r="L494" s="26">
        <v>1252</v>
      </c>
      <c r="M494" s="26">
        <v>9</v>
      </c>
      <c r="N494" s="26">
        <v>8</v>
      </c>
      <c r="O494" s="27">
        <v>17</v>
      </c>
      <c r="P494" s="19">
        <v>22</v>
      </c>
      <c r="Q494" s="19">
        <v>4</v>
      </c>
      <c r="R494" s="19" t="s">
        <v>431</v>
      </c>
      <c r="S494" s="26">
        <v>0</v>
      </c>
      <c r="T494" s="28" t="s">
        <v>1933</v>
      </c>
      <c r="U494" s="19" t="s">
        <v>1325</v>
      </c>
      <c r="V494" s="19">
        <v>0</v>
      </c>
      <c r="X494" t="b">
        <f>VLOOKUP(B494,'M10B Order'!B:F,5,FALSE)=W494</f>
        <v>1</v>
      </c>
    </row>
    <row r="495" spans="1:24" x14ac:dyDescent="0.2">
      <c r="A495" s="19">
        <v>579058134</v>
      </c>
      <c r="B495" s="19" t="s">
        <v>1327</v>
      </c>
      <c r="C495" s="19" t="s">
        <v>1328</v>
      </c>
      <c r="D495" s="19" t="s">
        <v>1277</v>
      </c>
      <c r="E495" s="19" t="s">
        <v>1777</v>
      </c>
      <c r="F495" s="19">
        <v>508804198</v>
      </c>
      <c r="G495" s="19">
        <v>4</v>
      </c>
      <c r="H495" s="19">
        <v>4</v>
      </c>
      <c r="I495" s="19">
        <v>186</v>
      </c>
      <c r="J495" s="25">
        <v>0.94086000000000003</v>
      </c>
      <c r="K495" s="26">
        <v>44.00015999999998</v>
      </c>
      <c r="L495" s="26">
        <v>2904</v>
      </c>
      <c r="M495" s="26">
        <v>9</v>
      </c>
      <c r="N495" s="26">
        <v>8</v>
      </c>
      <c r="O495" s="27">
        <v>17</v>
      </c>
      <c r="P495" s="19">
        <v>22</v>
      </c>
      <c r="Q495" s="19">
        <v>4</v>
      </c>
      <c r="R495" s="19" t="s">
        <v>431</v>
      </c>
      <c r="S495" s="26">
        <v>0</v>
      </c>
      <c r="T495" s="28">
        <v>33</v>
      </c>
      <c r="U495" s="19" t="s">
        <v>1329</v>
      </c>
      <c r="V495" s="19">
        <v>514.22999999999956</v>
      </c>
      <c r="X495" t="b">
        <f>VLOOKUP(B495,'M10B Order'!B:F,5,FALSE)=W495</f>
        <v>1</v>
      </c>
    </row>
    <row r="496" spans="1:24" x14ac:dyDescent="0.2">
      <c r="A496" s="19">
        <v>579058180</v>
      </c>
      <c r="B496" s="19" t="s">
        <v>1331</v>
      </c>
      <c r="C496" s="19" t="s">
        <v>1332</v>
      </c>
      <c r="D496" s="19" t="s">
        <v>1277</v>
      </c>
      <c r="E496" s="19" t="s">
        <v>1777</v>
      </c>
      <c r="F496" s="19">
        <v>508804198</v>
      </c>
      <c r="G496" s="19">
        <v>4</v>
      </c>
      <c r="H496" s="19">
        <v>4</v>
      </c>
      <c r="I496" s="19">
        <v>186</v>
      </c>
      <c r="J496" s="25">
        <v>0.99462399999999995</v>
      </c>
      <c r="K496" s="26">
        <v>3.9997440000000353</v>
      </c>
      <c r="L496" s="26">
        <v>1856</v>
      </c>
      <c r="M496" s="26">
        <v>9</v>
      </c>
      <c r="N496" s="26">
        <v>8</v>
      </c>
      <c r="O496" s="27">
        <v>17</v>
      </c>
      <c r="P496" s="19">
        <v>22</v>
      </c>
      <c r="Q496" s="19">
        <v>4</v>
      </c>
      <c r="R496" s="19" t="s">
        <v>431</v>
      </c>
      <c r="S496" s="26">
        <v>0</v>
      </c>
      <c r="T496" s="28" t="s">
        <v>1933</v>
      </c>
      <c r="U496" s="19" t="s">
        <v>1376</v>
      </c>
      <c r="V496" s="19">
        <v>0</v>
      </c>
      <c r="X496" t="b">
        <f>VLOOKUP(B496,'M10B Order'!B:F,5,FALSE)=W496</f>
        <v>1</v>
      </c>
    </row>
    <row r="497" spans="1:24" x14ac:dyDescent="0.2">
      <c r="A497" s="19">
        <v>579058074</v>
      </c>
      <c r="B497" s="19" t="s">
        <v>1333</v>
      </c>
      <c r="C497" s="19" t="s">
        <v>1334</v>
      </c>
      <c r="D497" s="19" t="s">
        <v>1277</v>
      </c>
      <c r="E497" s="19" t="s">
        <v>1777</v>
      </c>
      <c r="F497" s="19">
        <v>508804198</v>
      </c>
      <c r="G497" s="19">
        <v>4</v>
      </c>
      <c r="H497" s="19">
        <v>4</v>
      </c>
      <c r="I497" s="19">
        <v>186</v>
      </c>
      <c r="J497" s="25">
        <v>0.98924699999999999</v>
      </c>
      <c r="K497" s="26">
        <v>8.0002320000000093</v>
      </c>
      <c r="L497" s="26">
        <v>2272</v>
      </c>
      <c r="M497" s="26">
        <v>9</v>
      </c>
      <c r="N497" s="26">
        <v>8</v>
      </c>
      <c r="O497" s="27">
        <v>17</v>
      </c>
      <c r="P497" s="19">
        <v>22</v>
      </c>
      <c r="Q497" s="19">
        <v>4</v>
      </c>
      <c r="R497" s="19" t="s">
        <v>431</v>
      </c>
      <c r="S497" s="26">
        <v>0</v>
      </c>
      <c r="T497" s="28" t="s">
        <v>1933</v>
      </c>
      <c r="U497" s="19" t="s">
        <v>1358</v>
      </c>
      <c r="V497" s="19">
        <v>53.699951999999932</v>
      </c>
      <c r="X497" t="b">
        <f>VLOOKUP(B497,'M10B Order'!B:F,5,FALSE)=W497</f>
        <v>1</v>
      </c>
    </row>
    <row r="498" spans="1:24" x14ac:dyDescent="0.2">
      <c r="A498" s="19">
        <v>579058129</v>
      </c>
      <c r="B498" s="19" t="s">
        <v>1278</v>
      </c>
      <c r="C498" s="19" t="s">
        <v>1279</v>
      </c>
      <c r="D498" s="19" t="s">
        <v>1277</v>
      </c>
      <c r="E498" s="19" t="s">
        <v>1777</v>
      </c>
      <c r="F498" s="19">
        <v>508804198</v>
      </c>
      <c r="G498" s="19">
        <v>4</v>
      </c>
      <c r="H498" s="19">
        <v>4</v>
      </c>
      <c r="I498" s="19">
        <v>186</v>
      </c>
      <c r="J498" s="25">
        <v>0.99462399999999995</v>
      </c>
      <c r="K498" s="26">
        <v>3.9997440000000353</v>
      </c>
      <c r="L498" s="26">
        <v>2316</v>
      </c>
      <c r="M498" s="26">
        <v>9</v>
      </c>
      <c r="N498" s="26">
        <v>8</v>
      </c>
      <c r="O498" s="27">
        <v>17</v>
      </c>
      <c r="P498" s="19">
        <v>22</v>
      </c>
      <c r="Q498" s="19">
        <v>4</v>
      </c>
      <c r="R498" s="19" t="s">
        <v>431</v>
      </c>
      <c r="S498" s="26">
        <v>0</v>
      </c>
      <c r="T498" s="28">
        <v>29</v>
      </c>
      <c r="U498" s="19">
        <v>0</v>
      </c>
      <c r="V498" s="19" t="s">
        <v>431</v>
      </c>
      <c r="X498" t="b">
        <f>VLOOKUP(B498,'M10B Order'!B:F,5,FALSE)=W498</f>
        <v>1</v>
      </c>
    </row>
    <row r="499" spans="1:24" x14ac:dyDescent="0.2">
      <c r="A499" s="19">
        <v>579058070</v>
      </c>
      <c r="B499" s="19" t="s">
        <v>1317</v>
      </c>
      <c r="C499" s="19" t="s">
        <v>1318</v>
      </c>
      <c r="D499" s="19" t="s">
        <v>1316</v>
      </c>
      <c r="E499" s="19" t="s">
        <v>1777</v>
      </c>
      <c r="F499" s="19">
        <v>508804198</v>
      </c>
      <c r="G499" s="19">
        <v>4</v>
      </c>
      <c r="H499" s="19">
        <v>4</v>
      </c>
      <c r="I499" s="19">
        <v>186</v>
      </c>
      <c r="J499" s="25">
        <v>0.97311800000000004</v>
      </c>
      <c r="K499" s="26">
        <v>20.000207999999972</v>
      </c>
      <c r="L499" s="26">
        <v>940</v>
      </c>
      <c r="M499" s="26">
        <v>9</v>
      </c>
      <c r="N499" s="26">
        <v>8</v>
      </c>
      <c r="O499" s="27">
        <v>17</v>
      </c>
      <c r="P499" s="19">
        <v>22</v>
      </c>
      <c r="Q499" s="19">
        <v>4</v>
      </c>
      <c r="R499" s="19" t="s">
        <v>431</v>
      </c>
      <c r="S499" s="26">
        <v>0</v>
      </c>
      <c r="T499" s="28">
        <v>32</v>
      </c>
      <c r="U499" s="19" t="s">
        <v>1314</v>
      </c>
      <c r="V499" s="19">
        <v>0</v>
      </c>
      <c r="X499" t="b">
        <f>VLOOKUP(B499,'M10B Order'!B:F,5,FALSE)=W499</f>
        <v>1</v>
      </c>
    </row>
    <row r="500" spans="1:24" x14ac:dyDescent="0.2">
      <c r="A500" s="19">
        <v>579058133</v>
      </c>
      <c r="B500" s="19" t="s">
        <v>1325</v>
      </c>
      <c r="C500" s="19" t="s">
        <v>1326</v>
      </c>
      <c r="D500" s="19" t="s">
        <v>1316</v>
      </c>
      <c r="E500" s="19" t="s">
        <v>1777</v>
      </c>
      <c r="F500" s="19">
        <v>508804198</v>
      </c>
      <c r="G500" s="19">
        <v>4</v>
      </c>
      <c r="H500" s="19">
        <v>4</v>
      </c>
      <c r="I500" s="19">
        <v>186</v>
      </c>
      <c r="J500" s="25">
        <v>0.97311800000000004</v>
      </c>
      <c r="K500" s="26">
        <v>20.000207999999972</v>
      </c>
      <c r="L500" s="26">
        <v>2980</v>
      </c>
      <c r="M500" s="26">
        <v>9</v>
      </c>
      <c r="N500" s="26">
        <v>8</v>
      </c>
      <c r="O500" s="27">
        <v>17</v>
      </c>
      <c r="P500" s="19">
        <v>22</v>
      </c>
      <c r="Q500" s="19">
        <v>4</v>
      </c>
      <c r="R500" s="19" t="s">
        <v>431</v>
      </c>
      <c r="S500" s="26">
        <v>0</v>
      </c>
      <c r="T500" s="28" t="s">
        <v>1933</v>
      </c>
      <c r="U500" s="19" t="s">
        <v>1323</v>
      </c>
      <c r="V500" s="19">
        <v>0</v>
      </c>
      <c r="X500" t="b">
        <f>VLOOKUP(B500,'M10B Order'!B:F,5,FALSE)=W500</f>
        <v>1</v>
      </c>
    </row>
    <row r="501" spans="1:24" x14ac:dyDescent="0.2">
      <c r="A501" s="19">
        <v>579058093</v>
      </c>
      <c r="B501" s="19" t="s">
        <v>1349</v>
      </c>
      <c r="C501" s="19" t="s">
        <v>1350</v>
      </c>
      <c r="D501" s="19" t="s">
        <v>1239</v>
      </c>
      <c r="E501" s="19" t="s">
        <v>1778</v>
      </c>
      <c r="F501" s="19">
        <v>508804198</v>
      </c>
      <c r="G501" s="19">
        <v>8</v>
      </c>
      <c r="H501" s="19">
        <v>8</v>
      </c>
      <c r="I501" s="19">
        <v>186</v>
      </c>
      <c r="J501" s="25">
        <v>1</v>
      </c>
      <c r="K501" s="26">
        <v>0</v>
      </c>
      <c r="L501" s="26">
        <v>2480</v>
      </c>
      <c r="M501" s="26">
        <v>7</v>
      </c>
      <c r="N501" s="26">
        <v>8</v>
      </c>
      <c r="O501" s="27">
        <v>15</v>
      </c>
      <c r="P501" s="19">
        <v>12</v>
      </c>
      <c r="Q501" s="19">
        <v>1</v>
      </c>
      <c r="R501" s="19" t="s">
        <v>431</v>
      </c>
      <c r="S501" s="26">
        <v>0</v>
      </c>
      <c r="T501" s="28" t="s">
        <v>1933</v>
      </c>
      <c r="U501" s="19">
        <v>0</v>
      </c>
      <c r="V501" s="19" t="s">
        <v>431</v>
      </c>
      <c r="X501" t="b">
        <f>VLOOKUP(B501,'M10B Order'!B:F,5,FALSE)=W501</f>
        <v>1</v>
      </c>
    </row>
    <row r="502" spans="1:24" x14ac:dyDescent="0.2">
      <c r="A502" s="19">
        <v>579058050</v>
      </c>
      <c r="B502" s="19" t="s">
        <v>1345</v>
      </c>
      <c r="C502" s="19" t="s">
        <v>1346</v>
      </c>
      <c r="D502" s="19" t="s">
        <v>1239</v>
      </c>
      <c r="E502" s="19" t="s">
        <v>1778</v>
      </c>
      <c r="F502" s="19">
        <v>508804198</v>
      </c>
      <c r="G502" s="19">
        <v>8</v>
      </c>
      <c r="H502" s="19">
        <v>8</v>
      </c>
      <c r="I502" s="19">
        <v>186</v>
      </c>
      <c r="J502" s="25">
        <v>0.98924699999999999</v>
      </c>
      <c r="K502" s="26">
        <v>16.000464000000019</v>
      </c>
      <c r="L502" s="26">
        <v>1080</v>
      </c>
      <c r="M502" s="26">
        <v>7</v>
      </c>
      <c r="N502" s="26">
        <v>8</v>
      </c>
      <c r="O502" s="27">
        <v>15</v>
      </c>
      <c r="P502" s="19">
        <v>12</v>
      </c>
      <c r="Q502" s="19">
        <v>1</v>
      </c>
      <c r="R502" s="19" t="s">
        <v>431</v>
      </c>
      <c r="S502" s="26">
        <v>0</v>
      </c>
      <c r="T502" s="28" t="s">
        <v>1933</v>
      </c>
      <c r="U502" s="19">
        <v>0</v>
      </c>
      <c r="V502" s="19" t="s">
        <v>431</v>
      </c>
      <c r="X502" t="b">
        <f>VLOOKUP(B502,'M10B Order'!B:F,5,FALSE)=W502</f>
        <v>1</v>
      </c>
    </row>
    <row r="503" spans="1:24" x14ac:dyDescent="0.2">
      <c r="A503" s="19">
        <v>579058048</v>
      </c>
      <c r="B503" s="19" t="s">
        <v>1343</v>
      </c>
      <c r="C503" s="19" t="s">
        <v>1344</v>
      </c>
      <c r="D503" s="19" t="s">
        <v>1239</v>
      </c>
      <c r="E503" s="19" t="s">
        <v>1778</v>
      </c>
      <c r="F503" s="19">
        <v>508804198</v>
      </c>
      <c r="G503" s="19">
        <v>8</v>
      </c>
      <c r="H503" s="19">
        <v>8</v>
      </c>
      <c r="I503" s="19">
        <v>186</v>
      </c>
      <c r="J503" s="25">
        <v>0.99462399999999995</v>
      </c>
      <c r="K503" s="26">
        <v>7.9994880000000705</v>
      </c>
      <c r="L503" s="26">
        <v>208</v>
      </c>
      <c r="M503" s="26">
        <v>7</v>
      </c>
      <c r="N503" s="26">
        <v>8</v>
      </c>
      <c r="O503" s="27">
        <v>15</v>
      </c>
      <c r="P503" s="19">
        <v>12</v>
      </c>
      <c r="Q503" s="19">
        <v>1</v>
      </c>
      <c r="R503" s="19" t="s">
        <v>431</v>
      </c>
      <c r="S503" s="26">
        <v>0</v>
      </c>
      <c r="T503" s="28" t="s">
        <v>1933</v>
      </c>
      <c r="U503" s="19">
        <v>0</v>
      </c>
      <c r="V503" s="19" t="s">
        <v>431</v>
      </c>
      <c r="X503" t="b">
        <f>VLOOKUP(B503,'M10B Order'!B:F,5,FALSE)=W503</f>
        <v>1</v>
      </c>
    </row>
    <row r="504" spans="1:24" x14ac:dyDescent="0.2">
      <c r="A504" s="19">
        <v>579058105</v>
      </c>
      <c r="B504" s="19" t="s">
        <v>1341</v>
      </c>
      <c r="C504" s="19" t="s">
        <v>1342</v>
      </c>
      <c r="D504" s="19" t="s">
        <v>1239</v>
      </c>
      <c r="E504" s="19" t="s">
        <v>1778</v>
      </c>
      <c r="F504" s="19">
        <v>508804198</v>
      </c>
      <c r="G504" s="19">
        <v>8</v>
      </c>
      <c r="H504" s="19">
        <v>8</v>
      </c>
      <c r="I504" s="19">
        <v>186</v>
      </c>
      <c r="J504" s="25">
        <v>0.98387100000000005</v>
      </c>
      <c r="K504" s="26">
        <v>23.999951999999922</v>
      </c>
      <c r="L504" s="26">
        <v>2168</v>
      </c>
      <c r="M504" s="26">
        <v>7</v>
      </c>
      <c r="N504" s="26">
        <v>8</v>
      </c>
      <c r="O504" s="27">
        <v>15</v>
      </c>
      <c r="P504" s="19">
        <v>12</v>
      </c>
      <c r="Q504" s="19">
        <v>1</v>
      </c>
      <c r="R504" s="19" t="s">
        <v>431</v>
      </c>
      <c r="S504" s="26">
        <v>0</v>
      </c>
      <c r="T504" s="28" t="s">
        <v>1933</v>
      </c>
      <c r="U504" s="19">
        <v>0</v>
      </c>
      <c r="V504" s="19" t="s">
        <v>431</v>
      </c>
      <c r="X504" t="b">
        <f>VLOOKUP(B504,'M10B Order'!B:F,5,FALSE)=W504</f>
        <v>1</v>
      </c>
    </row>
    <row r="505" spans="1:24" x14ac:dyDescent="0.2">
      <c r="A505" s="19">
        <v>579058003</v>
      </c>
      <c r="B505" s="19" t="s">
        <v>1339</v>
      </c>
      <c r="C505" s="19" t="s">
        <v>1340</v>
      </c>
      <c r="D505" s="19" t="s">
        <v>1239</v>
      </c>
      <c r="E505" s="19" t="s">
        <v>1778</v>
      </c>
      <c r="F505" s="19">
        <v>508804198</v>
      </c>
      <c r="G505" s="19">
        <v>8</v>
      </c>
      <c r="H505" s="19">
        <v>8</v>
      </c>
      <c r="I505" s="19">
        <v>185</v>
      </c>
      <c r="J505" s="25">
        <v>0.99459500000000001</v>
      </c>
      <c r="K505" s="26">
        <v>7.9993999999999899</v>
      </c>
      <c r="L505" s="26">
        <v>2176</v>
      </c>
      <c r="M505" s="26">
        <v>7</v>
      </c>
      <c r="N505" s="26">
        <v>8</v>
      </c>
      <c r="O505" s="27">
        <v>15</v>
      </c>
      <c r="P505" s="19">
        <v>12</v>
      </c>
      <c r="Q505" s="19">
        <v>1</v>
      </c>
      <c r="R505" s="19" t="s">
        <v>431</v>
      </c>
      <c r="S505" s="26">
        <v>0</v>
      </c>
      <c r="T505" s="28" t="s">
        <v>1933</v>
      </c>
      <c r="U505" s="19">
        <v>0</v>
      </c>
      <c r="V505" s="19" t="s">
        <v>431</v>
      </c>
      <c r="X505" t="b">
        <f>VLOOKUP(B505,'M10B Order'!B:F,5,FALSE)=W505</f>
        <v>1</v>
      </c>
    </row>
    <row r="506" spans="1:24" x14ac:dyDescent="0.2">
      <c r="A506" s="19">
        <v>579058119</v>
      </c>
      <c r="B506" s="19" t="s">
        <v>1337</v>
      </c>
      <c r="C506" s="19" t="s">
        <v>1338</v>
      </c>
      <c r="D506" s="19" t="s">
        <v>1239</v>
      </c>
      <c r="E506" s="19" t="s">
        <v>1778</v>
      </c>
      <c r="F506" s="19">
        <v>508804198</v>
      </c>
      <c r="G506" s="19">
        <v>8</v>
      </c>
      <c r="H506" s="19">
        <v>8</v>
      </c>
      <c r="I506" s="19">
        <v>185</v>
      </c>
      <c r="J506" s="25">
        <v>0.98918899999999998</v>
      </c>
      <c r="K506" s="26">
        <v>16.000280000000021</v>
      </c>
      <c r="L506" s="26">
        <v>1624</v>
      </c>
      <c r="M506" s="26">
        <v>7</v>
      </c>
      <c r="N506" s="26">
        <v>8</v>
      </c>
      <c r="O506" s="27">
        <v>15</v>
      </c>
      <c r="P506" s="19">
        <v>12</v>
      </c>
      <c r="Q506" s="19">
        <v>1</v>
      </c>
      <c r="R506" s="19" t="s">
        <v>431</v>
      </c>
      <c r="S506" s="26">
        <v>0</v>
      </c>
      <c r="T506" s="28" t="s">
        <v>1933</v>
      </c>
      <c r="U506" s="19">
        <v>0</v>
      </c>
      <c r="V506" s="19" t="s">
        <v>431</v>
      </c>
      <c r="X506" t="b">
        <f>VLOOKUP(B506,'M10B Order'!B:F,5,FALSE)=W506</f>
        <v>1</v>
      </c>
    </row>
    <row r="507" spans="1:24" x14ac:dyDescent="0.2">
      <c r="A507" s="19">
        <v>579058062</v>
      </c>
      <c r="B507" s="19" t="s">
        <v>1248</v>
      </c>
      <c r="C507" s="19" t="s">
        <v>1249</v>
      </c>
      <c r="D507" s="19" t="s">
        <v>1239</v>
      </c>
      <c r="E507" s="19" t="s">
        <v>1778</v>
      </c>
      <c r="F507" s="19">
        <v>508804198</v>
      </c>
      <c r="G507" s="19">
        <v>8</v>
      </c>
      <c r="H507" s="19">
        <v>8</v>
      </c>
      <c r="I507" s="19">
        <v>186</v>
      </c>
      <c r="J507" s="25">
        <v>0.99462399999999995</v>
      </c>
      <c r="K507" s="26">
        <v>7.9994880000000705</v>
      </c>
      <c r="L507" s="26">
        <v>2200</v>
      </c>
      <c r="M507" s="26">
        <v>7</v>
      </c>
      <c r="N507" s="26">
        <v>8</v>
      </c>
      <c r="O507" s="27">
        <v>15</v>
      </c>
      <c r="P507" s="19">
        <v>12</v>
      </c>
      <c r="Q507" s="19">
        <v>1</v>
      </c>
      <c r="R507" s="19" t="s">
        <v>431</v>
      </c>
      <c r="S507" s="26">
        <v>0</v>
      </c>
      <c r="T507" s="28" t="s">
        <v>1933</v>
      </c>
      <c r="U507" s="19">
        <v>0</v>
      </c>
      <c r="V507" s="19" t="s">
        <v>431</v>
      </c>
      <c r="X507" t="b">
        <f>VLOOKUP(B507,'M10B Order'!B:F,5,FALSE)=W507</f>
        <v>1</v>
      </c>
    </row>
    <row r="508" spans="1:24" x14ac:dyDescent="0.2">
      <c r="A508" s="19">
        <v>579058080</v>
      </c>
      <c r="B508" s="19" t="s">
        <v>1246</v>
      </c>
      <c r="C508" s="19" t="s">
        <v>1247</v>
      </c>
      <c r="D508" s="19" t="s">
        <v>1239</v>
      </c>
      <c r="E508" s="19" t="s">
        <v>1778</v>
      </c>
      <c r="F508" s="19">
        <v>508804198</v>
      </c>
      <c r="G508" s="19">
        <v>8</v>
      </c>
      <c r="H508" s="19">
        <v>8</v>
      </c>
      <c r="I508" s="19">
        <v>186</v>
      </c>
      <c r="J508" s="25">
        <v>0.98924699999999999</v>
      </c>
      <c r="K508" s="26">
        <v>16.000464000000019</v>
      </c>
      <c r="L508" s="26">
        <v>3800</v>
      </c>
      <c r="M508" s="26">
        <v>7</v>
      </c>
      <c r="N508" s="26">
        <v>8</v>
      </c>
      <c r="O508" s="27">
        <v>15</v>
      </c>
      <c r="P508" s="19">
        <v>12</v>
      </c>
      <c r="Q508" s="19">
        <v>1</v>
      </c>
      <c r="R508" s="19" t="s">
        <v>431</v>
      </c>
      <c r="S508" s="26">
        <v>0</v>
      </c>
      <c r="T508" s="28" t="s">
        <v>1933</v>
      </c>
      <c r="U508" s="19">
        <v>0</v>
      </c>
      <c r="V508" s="19" t="s">
        <v>431</v>
      </c>
      <c r="X508" t="b">
        <f>VLOOKUP(B508,'M10B Order'!B:F,5,FALSE)=W508</f>
        <v>1</v>
      </c>
    </row>
    <row r="509" spans="1:24" x14ac:dyDescent="0.2">
      <c r="A509" s="19">
        <v>579058060</v>
      </c>
      <c r="B509" s="19" t="s">
        <v>1244</v>
      </c>
      <c r="C509" s="19" t="s">
        <v>1245</v>
      </c>
      <c r="D509" s="19" t="s">
        <v>1239</v>
      </c>
      <c r="E509" s="19" t="s">
        <v>1778</v>
      </c>
      <c r="F509" s="19">
        <v>508804198</v>
      </c>
      <c r="G509" s="19">
        <v>8</v>
      </c>
      <c r="H509" s="19">
        <v>8</v>
      </c>
      <c r="I509" s="19">
        <v>186</v>
      </c>
      <c r="J509" s="25">
        <v>0.99462399999999995</v>
      </c>
      <c r="K509" s="26">
        <v>7.9994880000000705</v>
      </c>
      <c r="L509" s="26">
        <v>3216</v>
      </c>
      <c r="M509" s="26">
        <v>7</v>
      </c>
      <c r="N509" s="26">
        <v>8</v>
      </c>
      <c r="O509" s="27">
        <v>15</v>
      </c>
      <c r="P509" s="19">
        <v>12</v>
      </c>
      <c r="Q509" s="19">
        <v>1</v>
      </c>
      <c r="R509" s="19" t="s">
        <v>431</v>
      </c>
      <c r="S509" s="26">
        <v>0</v>
      </c>
      <c r="T509" s="28" t="s">
        <v>1933</v>
      </c>
      <c r="U509" s="19">
        <v>0</v>
      </c>
      <c r="V509" s="19" t="s">
        <v>431</v>
      </c>
      <c r="X509" t="b">
        <f>VLOOKUP(B509,'M10B Order'!B:F,5,FALSE)=W509</f>
        <v>1</v>
      </c>
    </row>
    <row r="510" spans="1:24" x14ac:dyDescent="0.2">
      <c r="A510" s="19">
        <v>579057994</v>
      </c>
      <c r="B510" s="19" t="s">
        <v>1242</v>
      </c>
      <c r="C510" s="19" t="s">
        <v>1243</v>
      </c>
      <c r="D510" s="19" t="s">
        <v>1239</v>
      </c>
      <c r="E510" s="19" t="s">
        <v>1778</v>
      </c>
      <c r="F510" s="19">
        <v>508804198</v>
      </c>
      <c r="G510" s="19">
        <v>8</v>
      </c>
      <c r="H510" s="19">
        <v>8</v>
      </c>
      <c r="I510" s="19">
        <v>186</v>
      </c>
      <c r="J510" s="25">
        <v>0.95161300000000004</v>
      </c>
      <c r="K510" s="26">
        <v>71.999855999999937</v>
      </c>
      <c r="L510" s="26">
        <v>3448</v>
      </c>
      <c r="M510" s="26">
        <v>7</v>
      </c>
      <c r="N510" s="26">
        <v>8</v>
      </c>
      <c r="O510" s="27">
        <v>15</v>
      </c>
      <c r="P510" s="19">
        <v>12</v>
      </c>
      <c r="Q510" s="19">
        <v>1</v>
      </c>
      <c r="R510" s="19" t="s">
        <v>431</v>
      </c>
      <c r="S510" s="26">
        <v>0</v>
      </c>
      <c r="T510" s="28" t="s">
        <v>1933</v>
      </c>
      <c r="U510" s="19">
        <v>0</v>
      </c>
      <c r="V510" s="19" t="s">
        <v>431</v>
      </c>
      <c r="X510" t="b">
        <f>VLOOKUP(B510,'M10B Order'!B:F,5,FALSE)=W510</f>
        <v>1</v>
      </c>
    </row>
    <row r="511" spans="1:24" x14ac:dyDescent="0.2">
      <c r="A511" s="19">
        <v>579058056</v>
      </c>
      <c r="B511" s="19" t="s">
        <v>1240</v>
      </c>
      <c r="C511" s="19" t="s">
        <v>1241</v>
      </c>
      <c r="D511" s="19" t="s">
        <v>1239</v>
      </c>
      <c r="E511" s="19" t="s">
        <v>1778</v>
      </c>
      <c r="F511" s="19">
        <v>508804198</v>
      </c>
      <c r="G511" s="19">
        <v>8</v>
      </c>
      <c r="H511" s="19">
        <v>8</v>
      </c>
      <c r="I511" s="19">
        <v>185</v>
      </c>
      <c r="J511" s="25">
        <v>0.98918899999999998</v>
      </c>
      <c r="K511" s="26">
        <v>16.000280000000021</v>
      </c>
      <c r="L511" s="26">
        <v>1960</v>
      </c>
      <c r="M511" s="26">
        <v>7</v>
      </c>
      <c r="N511" s="26">
        <v>8</v>
      </c>
      <c r="O511" s="27">
        <v>15</v>
      </c>
      <c r="P511" s="19">
        <v>12</v>
      </c>
      <c r="Q511" s="19">
        <v>1</v>
      </c>
      <c r="R511" s="19" t="s">
        <v>431</v>
      </c>
      <c r="S511" s="26">
        <v>0</v>
      </c>
      <c r="T511" s="28" t="s">
        <v>1933</v>
      </c>
      <c r="U511" s="19">
        <v>0</v>
      </c>
      <c r="V511" s="19" t="s">
        <v>431</v>
      </c>
      <c r="X511" t="b">
        <f>VLOOKUP(B511,'M10B Order'!B:F,5,FALSE)=W511</f>
        <v>1</v>
      </c>
    </row>
    <row r="512" spans="1:24" x14ac:dyDescent="0.2">
      <c r="A512" s="19">
        <v>579058010</v>
      </c>
      <c r="B512" s="19" t="s">
        <v>1362</v>
      </c>
      <c r="C512" s="19" t="s">
        <v>1363</v>
      </c>
      <c r="D512" s="19" t="s">
        <v>1351</v>
      </c>
      <c r="E512" s="19" t="s">
        <v>1777</v>
      </c>
      <c r="F512" s="19">
        <v>508804198</v>
      </c>
      <c r="G512" s="19">
        <v>8</v>
      </c>
      <c r="H512" s="19">
        <v>8</v>
      </c>
      <c r="I512" s="19">
        <v>185</v>
      </c>
      <c r="J512" s="25">
        <v>1</v>
      </c>
      <c r="K512" s="26">
        <v>0</v>
      </c>
      <c r="L512" s="26">
        <v>1056</v>
      </c>
      <c r="M512" s="26">
        <v>7</v>
      </c>
      <c r="N512" s="26">
        <v>8</v>
      </c>
      <c r="O512" s="27">
        <v>15</v>
      </c>
      <c r="P512" s="19">
        <v>22</v>
      </c>
      <c r="Q512" s="19">
        <v>4</v>
      </c>
      <c r="R512" s="19" t="s">
        <v>431</v>
      </c>
      <c r="S512" s="26">
        <v>0</v>
      </c>
      <c r="T512" s="28" t="s">
        <v>1933</v>
      </c>
      <c r="U512" s="19">
        <v>0</v>
      </c>
      <c r="V512" s="19" t="s">
        <v>431</v>
      </c>
      <c r="X512" t="b">
        <f>VLOOKUP(B512,'M10B Order'!B:F,5,FALSE)=W512</f>
        <v>1</v>
      </c>
    </row>
    <row r="513" spans="1:24" x14ac:dyDescent="0.2">
      <c r="A513" s="19">
        <v>579057992</v>
      </c>
      <c r="B513" s="19" t="s">
        <v>1352</v>
      </c>
      <c r="C513" s="19" t="s">
        <v>1353</v>
      </c>
      <c r="D513" s="19" t="s">
        <v>1351</v>
      </c>
      <c r="E513" s="19" t="s">
        <v>1777</v>
      </c>
      <c r="F513" s="19">
        <v>508804198</v>
      </c>
      <c r="G513" s="19">
        <v>8</v>
      </c>
      <c r="H513" s="19">
        <v>8</v>
      </c>
      <c r="I513" s="19">
        <v>186</v>
      </c>
      <c r="J513" s="25">
        <v>0.99462399999999995</v>
      </c>
      <c r="K513" s="26">
        <v>7.9994880000000705</v>
      </c>
      <c r="L513" s="26">
        <v>1216</v>
      </c>
      <c r="M513" s="26">
        <v>7</v>
      </c>
      <c r="N513" s="26">
        <v>8</v>
      </c>
      <c r="O513" s="27">
        <v>15</v>
      </c>
      <c r="P513" s="19">
        <v>22</v>
      </c>
      <c r="Q513" s="19">
        <v>4</v>
      </c>
      <c r="R513" s="19" t="s">
        <v>431</v>
      </c>
      <c r="S513" s="26">
        <v>0</v>
      </c>
      <c r="T513" s="28" t="s">
        <v>1933</v>
      </c>
      <c r="U513" s="19" t="s">
        <v>1312</v>
      </c>
      <c r="V513" s="19">
        <v>0</v>
      </c>
      <c r="X513" t="b">
        <f>VLOOKUP(B513,'M10B Order'!B:F,5,FALSE)=W513</f>
        <v>1</v>
      </c>
    </row>
    <row r="514" spans="1:24" x14ac:dyDescent="0.2">
      <c r="A514" s="19">
        <v>579058004</v>
      </c>
      <c r="B514" s="19" t="s">
        <v>1354</v>
      </c>
      <c r="C514" s="19" t="s">
        <v>1355</v>
      </c>
      <c r="D514" s="19" t="s">
        <v>1351</v>
      </c>
      <c r="E514" s="19" t="s">
        <v>1777</v>
      </c>
      <c r="F514" s="19">
        <v>508804198</v>
      </c>
      <c r="G514" s="19">
        <v>8</v>
      </c>
      <c r="H514" s="19">
        <v>8</v>
      </c>
      <c r="I514" s="19">
        <v>185</v>
      </c>
      <c r="J514" s="25">
        <v>0.96216199999999996</v>
      </c>
      <c r="K514" s="26">
        <v>56.000240000000055</v>
      </c>
      <c r="L514" s="26">
        <v>3936</v>
      </c>
      <c r="M514" s="26">
        <v>7</v>
      </c>
      <c r="N514" s="26">
        <v>8</v>
      </c>
      <c r="O514" s="27">
        <v>15</v>
      </c>
      <c r="P514" s="19">
        <v>22</v>
      </c>
      <c r="Q514" s="19">
        <v>4</v>
      </c>
      <c r="R514" s="19" t="s">
        <v>431</v>
      </c>
      <c r="S514" s="26">
        <v>0</v>
      </c>
      <c r="T514" s="28" t="s">
        <v>1933</v>
      </c>
      <c r="U514" s="19" t="s">
        <v>1317</v>
      </c>
      <c r="V514" s="19">
        <v>0</v>
      </c>
      <c r="X514" t="b">
        <f>VLOOKUP(B514,'M10B Order'!B:F,5,FALSE)=W514</f>
        <v>1</v>
      </c>
    </row>
    <row r="515" spans="1:24" x14ac:dyDescent="0.2">
      <c r="A515" s="19">
        <v>579058051</v>
      </c>
      <c r="B515" s="19" t="s">
        <v>1356</v>
      </c>
      <c r="C515" s="19" t="s">
        <v>1357</v>
      </c>
      <c r="D515" s="19" t="s">
        <v>1351</v>
      </c>
      <c r="E515" s="19" t="s">
        <v>1777</v>
      </c>
      <c r="F515" s="19">
        <v>508804198</v>
      </c>
      <c r="G515" s="19">
        <v>8</v>
      </c>
      <c r="H515" s="19">
        <v>8</v>
      </c>
      <c r="I515" s="19">
        <v>186</v>
      </c>
      <c r="J515" s="25">
        <v>0.98387100000000005</v>
      </c>
      <c r="K515" s="26">
        <v>23.999951999999922</v>
      </c>
      <c r="L515" s="26">
        <v>912</v>
      </c>
      <c r="M515" s="26">
        <v>7</v>
      </c>
      <c r="N515" s="26">
        <v>8</v>
      </c>
      <c r="O515" s="27">
        <v>15</v>
      </c>
      <c r="P515" s="19">
        <v>22</v>
      </c>
      <c r="Q515" s="19">
        <v>4</v>
      </c>
      <c r="R515" s="19" t="s">
        <v>431</v>
      </c>
      <c r="S515" s="26">
        <v>0</v>
      </c>
      <c r="T515" s="28">
        <v>35</v>
      </c>
      <c r="U515" s="19">
        <v>0</v>
      </c>
      <c r="V515" s="19" t="s">
        <v>431</v>
      </c>
      <c r="X515" t="b">
        <f>VLOOKUP(B515,'M10B Order'!B:F,5,FALSE)=W515</f>
        <v>1</v>
      </c>
    </row>
    <row r="516" spans="1:24" x14ac:dyDescent="0.2">
      <c r="A516" s="19">
        <v>579057990</v>
      </c>
      <c r="B516" s="19" t="s">
        <v>1360</v>
      </c>
      <c r="C516" s="19" t="s">
        <v>1361</v>
      </c>
      <c r="D516" s="19" t="s">
        <v>1351</v>
      </c>
      <c r="E516" s="19" t="s">
        <v>1777</v>
      </c>
      <c r="F516" s="19">
        <v>508804198</v>
      </c>
      <c r="G516" s="19">
        <v>8</v>
      </c>
      <c r="H516" s="19">
        <v>8</v>
      </c>
      <c r="I516" s="19">
        <v>186</v>
      </c>
      <c r="J516" s="25">
        <v>0.978495</v>
      </c>
      <c r="K516" s="26">
        <v>31.999439999999993</v>
      </c>
      <c r="L516" s="26">
        <v>3120</v>
      </c>
      <c r="M516" s="26">
        <v>7</v>
      </c>
      <c r="N516" s="26">
        <v>8</v>
      </c>
      <c r="O516" s="27">
        <v>15</v>
      </c>
      <c r="P516" s="19">
        <v>22</v>
      </c>
      <c r="Q516" s="19">
        <v>4</v>
      </c>
      <c r="R516" s="19" t="s">
        <v>431</v>
      </c>
      <c r="S516" s="26">
        <v>0</v>
      </c>
      <c r="T516" s="28" t="s">
        <v>1933</v>
      </c>
      <c r="U516" s="19">
        <v>0</v>
      </c>
      <c r="V516" s="19" t="s">
        <v>431</v>
      </c>
      <c r="X516" t="b">
        <f>VLOOKUP(B516,'M10B Order'!B:F,5,FALSE)=W516</f>
        <v>1</v>
      </c>
    </row>
    <row r="517" spans="1:24" x14ac:dyDescent="0.2">
      <c r="A517" s="19">
        <v>579058052</v>
      </c>
      <c r="B517" s="19" t="s">
        <v>1364</v>
      </c>
      <c r="C517" s="19" t="s">
        <v>1365</v>
      </c>
      <c r="D517" s="19" t="s">
        <v>1351</v>
      </c>
      <c r="E517" s="19" t="s">
        <v>1777</v>
      </c>
      <c r="F517" s="19">
        <v>508804198</v>
      </c>
      <c r="G517" s="19">
        <v>8</v>
      </c>
      <c r="H517" s="19">
        <v>8</v>
      </c>
      <c r="I517" s="19">
        <v>186</v>
      </c>
      <c r="J517" s="25">
        <v>0.99462399999999995</v>
      </c>
      <c r="K517" s="26">
        <v>7.9994880000000705</v>
      </c>
      <c r="L517" s="26">
        <v>2760</v>
      </c>
      <c r="M517" s="26">
        <v>7</v>
      </c>
      <c r="N517" s="26">
        <v>8</v>
      </c>
      <c r="O517" s="27">
        <v>15</v>
      </c>
      <c r="P517" s="19">
        <v>22</v>
      </c>
      <c r="Q517" s="19">
        <v>4</v>
      </c>
      <c r="R517" s="19" t="s">
        <v>431</v>
      </c>
      <c r="S517" s="26">
        <v>0</v>
      </c>
      <c r="T517" s="28" t="s">
        <v>1933</v>
      </c>
      <c r="U517" s="19">
        <v>0</v>
      </c>
      <c r="V517" s="19" t="s">
        <v>431</v>
      </c>
      <c r="X517" t="b">
        <f>VLOOKUP(B517,'M10B Order'!B:F,5,FALSE)=W517</f>
        <v>1</v>
      </c>
    </row>
    <row r="518" spans="1:24" x14ac:dyDescent="0.2">
      <c r="A518" s="19">
        <v>579058023</v>
      </c>
      <c r="B518" s="19" t="s">
        <v>1366</v>
      </c>
      <c r="C518" s="19" t="s">
        <v>1367</v>
      </c>
      <c r="D518" s="19" t="s">
        <v>1351</v>
      </c>
      <c r="E518" s="19" t="s">
        <v>1777</v>
      </c>
      <c r="F518" s="19">
        <v>508804198</v>
      </c>
      <c r="G518" s="19">
        <v>8</v>
      </c>
      <c r="H518" s="19">
        <v>8</v>
      </c>
      <c r="I518" s="19">
        <v>186</v>
      </c>
      <c r="J518" s="25">
        <v>0.98387100000000005</v>
      </c>
      <c r="K518" s="26">
        <v>23.999951999999922</v>
      </c>
      <c r="L518" s="26">
        <v>288</v>
      </c>
      <c r="M518" s="26">
        <v>7</v>
      </c>
      <c r="N518" s="26">
        <v>8</v>
      </c>
      <c r="O518" s="27">
        <v>15</v>
      </c>
      <c r="P518" s="19">
        <v>22</v>
      </c>
      <c r="Q518" s="19">
        <v>4</v>
      </c>
      <c r="R518" s="19" t="s">
        <v>431</v>
      </c>
      <c r="S518" s="26">
        <v>0</v>
      </c>
      <c r="T518" s="28" t="s">
        <v>1933</v>
      </c>
      <c r="U518" s="19" t="s">
        <v>1319</v>
      </c>
      <c r="V518" s="19">
        <v>0</v>
      </c>
      <c r="X518" t="b">
        <f>VLOOKUP(B518,'M10B Order'!B:F,5,FALSE)=W518</f>
        <v>1</v>
      </c>
    </row>
    <row r="519" spans="1:24" x14ac:dyDescent="0.2">
      <c r="A519" s="19">
        <v>579057991</v>
      </c>
      <c r="B519" s="19" t="s">
        <v>1368</v>
      </c>
      <c r="C519" s="19" t="s">
        <v>1369</v>
      </c>
      <c r="D519" s="19" t="s">
        <v>1351</v>
      </c>
      <c r="E519" s="19" t="s">
        <v>1777</v>
      </c>
      <c r="F519" s="19">
        <v>508804198</v>
      </c>
      <c r="G519" s="19">
        <v>8</v>
      </c>
      <c r="H519" s="19">
        <v>8</v>
      </c>
      <c r="I519" s="19">
        <v>186</v>
      </c>
      <c r="J519" s="25">
        <v>1</v>
      </c>
      <c r="K519" s="26">
        <v>0</v>
      </c>
      <c r="L519" s="26">
        <v>1432</v>
      </c>
      <c r="M519" s="26">
        <v>7</v>
      </c>
      <c r="N519" s="26">
        <v>8</v>
      </c>
      <c r="O519" s="27">
        <v>15</v>
      </c>
      <c r="P519" s="19">
        <v>22</v>
      </c>
      <c r="Q519" s="19">
        <v>4</v>
      </c>
      <c r="R519" s="19" t="s">
        <v>431</v>
      </c>
      <c r="S519" s="26">
        <v>0</v>
      </c>
      <c r="T519" s="28" t="s">
        <v>1933</v>
      </c>
      <c r="U519" s="19" t="s">
        <v>1321</v>
      </c>
      <c r="V519" s="19">
        <v>0</v>
      </c>
      <c r="X519" t="b">
        <f>VLOOKUP(B519,'M10B Order'!B:F,5,FALSE)=W519</f>
        <v>1</v>
      </c>
    </row>
    <row r="520" spans="1:24" x14ac:dyDescent="0.2">
      <c r="A520" s="19">
        <v>579058053</v>
      </c>
      <c r="B520" s="19" t="s">
        <v>1370</v>
      </c>
      <c r="C520" s="19" t="s">
        <v>1371</v>
      </c>
      <c r="D520" s="19" t="s">
        <v>1351</v>
      </c>
      <c r="E520" s="19" t="s">
        <v>1777</v>
      </c>
      <c r="F520" s="19">
        <v>508804198</v>
      </c>
      <c r="G520" s="19">
        <v>8</v>
      </c>
      <c r="H520" s="19">
        <v>8</v>
      </c>
      <c r="I520" s="19">
        <v>186</v>
      </c>
      <c r="J520" s="25">
        <v>0.99462399999999995</v>
      </c>
      <c r="K520" s="26">
        <v>7.9994880000000705</v>
      </c>
      <c r="L520" s="26">
        <v>2712</v>
      </c>
      <c r="M520" s="26">
        <v>7</v>
      </c>
      <c r="N520" s="26">
        <v>8</v>
      </c>
      <c r="O520" s="27">
        <v>15</v>
      </c>
      <c r="P520" s="19">
        <v>22</v>
      </c>
      <c r="Q520" s="19">
        <v>4</v>
      </c>
      <c r="R520" s="19" t="s">
        <v>431</v>
      </c>
      <c r="S520" s="26">
        <v>0</v>
      </c>
      <c r="T520" s="28" t="s">
        <v>1933</v>
      </c>
      <c r="U520" s="19">
        <v>0</v>
      </c>
      <c r="V520" s="19" t="s">
        <v>431</v>
      </c>
      <c r="X520" t="b">
        <f>VLOOKUP(B520,'M10B Order'!B:F,5,FALSE)=W520</f>
        <v>1</v>
      </c>
    </row>
    <row r="521" spans="1:24" x14ac:dyDescent="0.2">
      <c r="A521" s="19">
        <v>579058005</v>
      </c>
      <c r="B521" s="19" t="s">
        <v>1372</v>
      </c>
      <c r="C521" s="19" t="s">
        <v>1373</v>
      </c>
      <c r="D521" s="19" t="s">
        <v>1351</v>
      </c>
      <c r="E521" s="19" t="s">
        <v>1777</v>
      </c>
      <c r="F521" s="19">
        <v>508804198</v>
      </c>
      <c r="G521" s="19">
        <v>8</v>
      </c>
      <c r="H521" s="19">
        <v>8</v>
      </c>
      <c r="I521" s="19">
        <v>186</v>
      </c>
      <c r="J521" s="25">
        <v>0.98924699999999999</v>
      </c>
      <c r="K521" s="26">
        <v>16.000464000000019</v>
      </c>
      <c r="L521" s="26">
        <v>5776</v>
      </c>
      <c r="M521" s="26">
        <v>7</v>
      </c>
      <c r="N521" s="26">
        <v>8</v>
      </c>
      <c r="O521" s="27">
        <v>15</v>
      </c>
      <c r="P521" s="19">
        <v>22</v>
      </c>
      <c r="Q521" s="19">
        <v>4</v>
      </c>
      <c r="R521" s="19" t="s">
        <v>431</v>
      </c>
      <c r="S521" s="26">
        <v>0</v>
      </c>
      <c r="T521" s="28" t="s">
        <v>1933</v>
      </c>
      <c r="U521" s="19" t="s">
        <v>1323</v>
      </c>
      <c r="V521" s="19">
        <v>0</v>
      </c>
      <c r="X521" t="b">
        <f>VLOOKUP(B521,'M10B Order'!B:F,5,FALSE)=W521</f>
        <v>1</v>
      </c>
    </row>
    <row r="522" spans="1:24" x14ac:dyDescent="0.2">
      <c r="A522" s="19">
        <v>579058046</v>
      </c>
      <c r="B522" s="19" t="s">
        <v>1374</v>
      </c>
      <c r="C522" s="19" t="s">
        <v>1375</v>
      </c>
      <c r="D522" s="19" t="s">
        <v>1351</v>
      </c>
      <c r="E522" s="19" t="s">
        <v>1777</v>
      </c>
      <c r="F522" s="19">
        <v>508804198</v>
      </c>
      <c r="G522" s="19">
        <v>8</v>
      </c>
      <c r="H522" s="19">
        <v>8</v>
      </c>
      <c r="I522" s="19">
        <v>186</v>
      </c>
      <c r="J522" s="25">
        <v>0.98387100000000005</v>
      </c>
      <c r="K522" s="26">
        <v>23.999951999999922</v>
      </c>
      <c r="L522" s="26">
        <v>4296</v>
      </c>
      <c r="M522" s="26">
        <v>7</v>
      </c>
      <c r="N522" s="26">
        <v>8</v>
      </c>
      <c r="O522" s="27">
        <v>15</v>
      </c>
      <c r="P522" s="19">
        <v>22</v>
      </c>
      <c r="Q522" s="19">
        <v>4</v>
      </c>
      <c r="R522" s="19" t="s">
        <v>431</v>
      </c>
      <c r="S522" s="26">
        <v>0</v>
      </c>
      <c r="T522" s="28" t="s">
        <v>1933</v>
      </c>
      <c r="U522" s="19" t="s">
        <v>1327</v>
      </c>
      <c r="V522" s="19">
        <v>0</v>
      </c>
      <c r="X522" t="b">
        <f>VLOOKUP(B522,'M10B Order'!B:F,5,FALSE)=W522</f>
        <v>1</v>
      </c>
    </row>
    <row r="523" spans="1:24" x14ac:dyDescent="0.2">
      <c r="A523" s="19">
        <v>579058013</v>
      </c>
      <c r="B523" s="19" t="s">
        <v>1376</v>
      </c>
      <c r="C523" s="19" t="s">
        <v>1377</v>
      </c>
      <c r="D523" s="19" t="s">
        <v>1351</v>
      </c>
      <c r="E523" s="19" t="s">
        <v>1777</v>
      </c>
      <c r="F523" s="19">
        <v>508804198</v>
      </c>
      <c r="G523" s="19">
        <v>8</v>
      </c>
      <c r="H523" s="19">
        <v>8</v>
      </c>
      <c r="I523" s="19">
        <v>186</v>
      </c>
      <c r="J523" s="25">
        <v>0.978495</v>
      </c>
      <c r="K523" s="26">
        <v>31.999439999999993</v>
      </c>
      <c r="L523" s="26">
        <v>104</v>
      </c>
      <c r="M523" s="26">
        <v>7</v>
      </c>
      <c r="N523" s="26">
        <v>8</v>
      </c>
      <c r="O523" s="27">
        <v>15</v>
      </c>
      <c r="P523" s="19">
        <v>22</v>
      </c>
      <c r="Q523" s="19">
        <v>4</v>
      </c>
      <c r="R523" s="19" t="s">
        <v>431</v>
      </c>
      <c r="S523" s="26">
        <v>0</v>
      </c>
      <c r="T523" s="28" t="s">
        <v>1933</v>
      </c>
      <c r="U523" s="19" t="s">
        <v>1331</v>
      </c>
      <c r="V523" s="19">
        <v>0</v>
      </c>
      <c r="X523" t="b">
        <f>VLOOKUP(B523,'M10B Order'!B:F,5,FALSE)=W523</f>
        <v>1</v>
      </c>
    </row>
    <row r="524" spans="1:24" x14ac:dyDescent="0.2">
      <c r="A524" s="19">
        <v>554919951</v>
      </c>
      <c r="B524" s="19" t="s">
        <v>176</v>
      </c>
      <c r="C524" s="19" t="s">
        <v>175</v>
      </c>
      <c r="D524" s="19" t="s">
        <v>370</v>
      </c>
      <c r="E524" s="19" t="s">
        <v>1778</v>
      </c>
      <c r="F524" s="19">
        <v>508804191</v>
      </c>
      <c r="G524" s="19">
        <v>8</v>
      </c>
      <c r="H524" s="19">
        <v>8</v>
      </c>
      <c r="I524" s="19">
        <v>1911</v>
      </c>
      <c r="J524" s="25">
        <v>0.92359999999999998</v>
      </c>
      <c r="K524" s="26">
        <v>1168.0032000000003</v>
      </c>
      <c r="L524" s="26">
        <v>0</v>
      </c>
      <c r="M524" s="26">
        <v>7</v>
      </c>
      <c r="N524" s="26">
        <v>6</v>
      </c>
      <c r="O524" s="27">
        <v>13</v>
      </c>
      <c r="P524" s="19">
        <v>12</v>
      </c>
      <c r="Q524" s="19">
        <v>1</v>
      </c>
      <c r="R524" s="19" t="s">
        <v>431</v>
      </c>
      <c r="S524" s="26">
        <v>0</v>
      </c>
      <c r="T524" s="28">
        <v>20</v>
      </c>
      <c r="U524" s="19" t="s">
        <v>431</v>
      </c>
      <c r="V524" s="19" t="s">
        <v>431</v>
      </c>
      <c r="X524" t="b">
        <f>VLOOKUP(B524,'M10B Order'!B:F,5,FALSE)=W524</f>
        <v>1</v>
      </c>
    </row>
    <row r="525" spans="1:24" x14ac:dyDescent="0.2">
      <c r="A525" s="19">
        <v>554919476</v>
      </c>
      <c r="B525" s="19" t="s">
        <v>141</v>
      </c>
      <c r="C525" s="19" t="s">
        <v>140</v>
      </c>
      <c r="D525" s="19" t="s">
        <v>370</v>
      </c>
      <c r="E525" s="19" t="s">
        <v>1778</v>
      </c>
      <c r="F525" s="19">
        <v>508804191</v>
      </c>
      <c r="G525" s="19">
        <v>8</v>
      </c>
      <c r="H525" s="19">
        <v>8</v>
      </c>
      <c r="I525" s="19">
        <v>2287</v>
      </c>
      <c r="J525" s="25">
        <v>0.94272</v>
      </c>
      <c r="K525" s="26">
        <v>1047.99488</v>
      </c>
      <c r="L525" s="26">
        <v>1256</v>
      </c>
      <c r="M525" s="26">
        <v>7</v>
      </c>
      <c r="N525" s="26">
        <v>6</v>
      </c>
      <c r="O525" s="27">
        <v>13</v>
      </c>
      <c r="P525" s="19">
        <v>12</v>
      </c>
      <c r="Q525" s="19">
        <v>1</v>
      </c>
      <c r="R525" s="19" t="s">
        <v>431</v>
      </c>
      <c r="S525" s="26">
        <v>0</v>
      </c>
      <c r="T525" s="28">
        <v>16</v>
      </c>
      <c r="U525" s="19" t="s">
        <v>431</v>
      </c>
      <c r="V525" s="19" t="s">
        <v>431</v>
      </c>
      <c r="X525" t="b">
        <f>VLOOKUP(B525,'M10B Order'!B:F,5,FALSE)=W525</f>
        <v>1</v>
      </c>
    </row>
    <row r="526" spans="1:24" x14ac:dyDescent="0.2">
      <c r="A526" s="19">
        <v>554919883</v>
      </c>
      <c r="B526" s="19" t="s">
        <v>127</v>
      </c>
      <c r="C526" s="19" t="s">
        <v>126</v>
      </c>
      <c r="D526" s="19" t="s">
        <v>370</v>
      </c>
      <c r="E526" s="19" t="s">
        <v>1778</v>
      </c>
      <c r="F526" s="19">
        <v>508804191</v>
      </c>
      <c r="G526" s="19">
        <v>8</v>
      </c>
      <c r="H526" s="19">
        <v>8</v>
      </c>
      <c r="I526" s="19">
        <v>2045</v>
      </c>
      <c r="J526" s="25">
        <v>0.97555000000000003</v>
      </c>
      <c r="K526" s="26">
        <v>400.00199999999955</v>
      </c>
      <c r="L526" s="26">
        <v>1680</v>
      </c>
      <c r="M526" s="26">
        <v>7</v>
      </c>
      <c r="N526" s="26">
        <v>6</v>
      </c>
      <c r="O526" s="27">
        <v>13</v>
      </c>
      <c r="P526" s="19">
        <v>12</v>
      </c>
      <c r="Q526" s="19">
        <v>1</v>
      </c>
      <c r="R526" s="19" t="s">
        <v>431</v>
      </c>
      <c r="S526" s="26">
        <v>0</v>
      </c>
      <c r="T526" s="28">
        <v>14</v>
      </c>
      <c r="U526" s="19" t="s">
        <v>548</v>
      </c>
      <c r="V526" s="19">
        <v>0</v>
      </c>
      <c r="X526" t="b">
        <f>VLOOKUP(B526,'M10B Order'!B:F,5,FALSE)=W526</f>
        <v>1</v>
      </c>
    </row>
    <row r="527" spans="1:24" x14ac:dyDescent="0.2">
      <c r="A527" s="19">
        <v>554919913</v>
      </c>
      <c r="B527" s="19" t="s">
        <v>107</v>
      </c>
      <c r="C527" s="19" t="s">
        <v>106</v>
      </c>
      <c r="D527" s="19" t="s">
        <v>370</v>
      </c>
      <c r="E527" s="19" t="s">
        <v>1778</v>
      </c>
      <c r="F527" s="19">
        <v>508804191</v>
      </c>
      <c r="G527" s="19">
        <v>8</v>
      </c>
      <c r="H527" s="19">
        <v>8</v>
      </c>
      <c r="I527" s="19">
        <v>1393</v>
      </c>
      <c r="J527" s="25">
        <v>0.94759499999999997</v>
      </c>
      <c r="K527" s="26">
        <v>584.00132000000042</v>
      </c>
      <c r="L527" s="26">
        <v>776</v>
      </c>
      <c r="M527" s="26">
        <v>7</v>
      </c>
      <c r="N527" s="26">
        <v>6</v>
      </c>
      <c r="O527" s="27">
        <v>13</v>
      </c>
      <c r="P527" s="19">
        <v>12</v>
      </c>
      <c r="Q527" s="19">
        <v>1</v>
      </c>
      <c r="R527" s="19" t="s">
        <v>431</v>
      </c>
      <c r="S527" s="26">
        <v>0</v>
      </c>
      <c r="T527" s="28">
        <v>14</v>
      </c>
      <c r="U527" s="19" t="s">
        <v>600</v>
      </c>
      <c r="V527" s="19">
        <v>730.41944400000011</v>
      </c>
      <c r="X527" t="b">
        <f>VLOOKUP(B527,'M10B Order'!B:F,5,FALSE)=W527</f>
        <v>1</v>
      </c>
    </row>
    <row r="528" spans="1:24" x14ac:dyDescent="0.2">
      <c r="A528" s="19">
        <v>554919912</v>
      </c>
      <c r="B528" s="19" t="s">
        <v>147</v>
      </c>
      <c r="C528" s="19" t="s">
        <v>146</v>
      </c>
      <c r="D528" s="19" t="s">
        <v>370</v>
      </c>
      <c r="E528" s="19" t="s">
        <v>1778</v>
      </c>
      <c r="F528" s="19">
        <v>508804191</v>
      </c>
      <c r="G528" s="19">
        <v>8</v>
      </c>
      <c r="H528" s="19">
        <v>8</v>
      </c>
      <c r="I528" s="19">
        <v>1012</v>
      </c>
      <c r="J528" s="25">
        <v>0.96640300000000001</v>
      </c>
      <c r="K528" s="26">
        <v>272.00131199999993</v>
      </c>
      <c r="L528" s="26">
        <v>2712</v>
      </c>
      <c r="M528" s="26">
        <v>7</v>
      </c>
      <c r="N528" s="26">
        <v>6</v>
      </c>
      <c r="O528" s="27">
        <v>13</v>
      </c>
      <c r="P528" s="19">
        <v>12</v>
      </c>
      <c r="Q528" s="19">
        <v>1</v>
      </c>
      <c r="R528" s="19" t="s">
        <v>431</v>
      </c>
      <c r="S528" s="26">
        <v>0</v>
      </c>
      <c r="T528" s="28">
        <v>31</v>
      </c>
      <c r="U528" s="19" t="s">
        <v>559</v>
      </c>
      <c r="V528" s="19" t="s">
        <v>431</v>
      </c>
      <c r="X528" t="b">
        <f>VLOOKUP(B528,'M10B Order'!B:F,5,FALSE)=W528</f>
        <v>1</v>
      </c>
    </row>
    <row r="529" spans="1:24" x14ac:dyDescent="0.2">
      <c r="A529" s="19">
        <v>554919906</v>
      </c>
      <c r="B529" s="19" t="s">
        <v>251</v>
      </c>
      <c r="C529" s="19" t="s">
        <v>250</v>
      </c>
      <c r="D529" s="19" t="s">
        <v>370</v>
      </c>
      <c r="E529" s="19" t="s">
        <v>1778</v>
      </c>
      <c r="F529" s="19">
        <v>508804191</v>
      </c>
      <c r="G529" s="19">
        <v>8</v>
      </c>
      <c r="H529" s="19">
        <v>8</v>
      </c>
      <c r="I529" s="19">
        <v>1247</v>
      </c>
      <c r="J529" s="25">
        <v>0.96471499999999999</v>
      </c>
      <c r="K529" s="26">
        <v>352.00316000000009</v>
      </c>
      <c r="L529" s="26">
        <v>1960</v>
      </c>
      <c r="M529" s="26">
        <v>7</v>
      </c>
      <c r="N529" s="26">
        <v>6</v>
      </c>
      <c r="O529" s="27">
        <v>13</v>
      </c>
      <c r="P529" s="19">
        <v>12</v>
      </c>
      <c r="Q529" s="19">
        <v>1</v>
      </c>
      <c r="R529" s="19" t="s">
        <v>431</v>
      </c>
      <c r="S529" s="26">
        <v>0</v>
      </c>
      <c r="T529" s="28">
        <v>19</v>
      </c>
      <c r="U529" s="19" t="s">
        <v>540</v>
      </c>
      <c r="V529" s="19" t="s">
        <v>431</v>
      </c>
      <c r="X529" t="b">
        <f>VLOOKUP(B529,'M10B Order'!B:F,5,FALSE)=W529</f>
        <v>1</v>
      </c>
    </row>
    <row r="530" spans="1:24" x14ac:dyDescent="0.2">
      <c r="A530" s="19">
        <v>554919887</v>
      </c>
      <c r="B530" s="19" t="s">
        <v>186</v>
      </c>
      <c r="C530" s="19" t="s">
        <v>185</v>
      </c>
      <c r="D530" s="19" t="s">
        <v>370</v>
      </c>
      <c r="E530" s="19" t="s">
        <v>1778</v>
      </c>
      <c r="F530" s="19">
        <v>508804191</v>
      </c>
      <c r="G530" s="19">
        <v>8</v>
      </c>
      <c r="H530" s="19">
        <v>8</v>
      </c>
      <c r="I530" s="19">
        <v>99</v>
      </c>
      <c r="J530" s="25">
        <v>0.85858599999999996</v>
      </c>
      <c r="K530" s="26">
        <v>111.99988800000003</v>
      </c>
      <c r="L530" s="26">
        <v>2904</v>
      </c>
      <c r="M530" s="26">
        <v>7</v>
      </c>
      <c r="N530" s="26">
        <v>6</v>
      </c>
      <c r="O530" s="27">
        <v>13</v>
      </c>
      <c r="P530" s="19">
        <v>12</v>
      </c>
      <c r="Q530" s="19">
        <v>1</v>
      </c>
      <c r="R530" s="19" t="s">
        <v>431</v>
      </c>
      <c r="S530" s="26">
        <v>0</v>
      </c>
      <c r="T530" s="28" t="s">
        <v>1933</v>
      </c>
      <c r="U530" s="19" t="s">
        <v>431</v>
      </c>
      <c r="V530" s="19" t="s">
        <v>431</v>
      </c>
      <c r="X530" t="b">
        <f>VLOOKUP(B530,'M10B Order'!B:F,5,FALSE)=W530</f>
        <v>1</v>
      </c>
    </row>
    <row r="531" spans="1:24" x14ac:dyDescent="0.2">
      <c r="A531" s="19">
        <v>554919517</v>
      </c>
      <c r="B531" s="19" t="s">
        <v>266</v>
      </c>
      <c r="C531" s="19" t="s">
        <v>265</v>
      </c>
      <c r="D531" s="19" t="s">
        <v>370</v>
      </c>
      <c r="E531" s="19" t="s">
        <v>1778</v>
      </c>
      <c r="F531" s="19">
        <v>508804191</v>
      </c>
      <c r="G531" s="19">
        <v>8</v>
      </c>
      <c r="H531" s="19">
        <v>8</v>
      </c>
      <c r="I531" s="19">
        <v>99</v>
      </c>
      <c r="J531" s="25">
        <v>0.83838400000000002</v>
      </c>
      <c r="K531" s="26">
        <v>127.99987199999998</v>
      </c>
      <c r="L531" s="26">
        <v>1768</v>
      </c>
      <c r="M531" s="26">
        <v>7</v>
      </c>
      <c r="N531" s="26">
        <v>6</v>
      </c>
      <c r="O531" s="27">
        <v>13</v>
      </c>
      <c r="P531" s="19">
        <v>12</v>
      </c>
      <c r="Q531" s="19">
        <v>1</v>
      </c>
      <c r="R531" s="19" t="s">
        <v>431</v>
      </c>
      <c r="S531" s="26">
        <v>0</v>
      </c>
      <c r="T531" s="28" t="s">
        <v>1933</v>
      </c>
      <c r="U531" s="19" t="s">
        <v>431</v>
      </c>
      <c r="V531" s="19" t="s">
        <v>431</v>
      </c>
      <c r="X531" t="b">
        <f>VLOOKUP(B531,'M10B Order'!B:F,5,FALSE)=W531</f>
        <v>1</v>
      </c>
    </row>
    <row r="532" spans="1:24" x14ac:dyDescent="0.2">
      <c r="A532" s="19">
        <v>554919547</v>
      </c>
      <c r="B532" s="19" t="s">
        <v>342</v>
      </c>
      <c r="C532" s="19" t="s">
        <v>341</v>
      </c>
      <c r="D532" s="19" t="s">
        <v>370</v>
      </c>
      <c r="E532" s="19" t="s">
        <v>1778</v>
      </c>
      <c r="F532" s="19">
        <v>508804191</v>
      </c>
      <c r="G532" s="19">
        <v>8</v>
      </c>
      <c r="H532" s="19">
        <v>8</v>
      </c>
      <c r="I532" s="19">
        <v>471</v>
      </c>
      <c r="J532" s="25">
        <v>0.95965999999999996</v>
      </c>
      <c r="K532" s="26">
        <v>152.00112000000016</v>
      </c>
      <c r="L532" s="26">
        <v>3152</v>
      </c>
      <c r="M532" s="26">
        <v>7</v>
      </c>
      <c r="N532" s="26">
        <v>6</v>
      </c>
      <c r="O532" s="27">
        <v>13</v>
      </c>
      <c r="P532" s="19">
        <v>12</v>
      </c>
      <c r="Q532" s="19">
        <v>1</v>
      </c>
      <c r="R532" s="19" t="s">
        <v>431</v>
      </c>
      <c r="S532" s="26">
        <v>0</v>
      </c>
      <c r="T532" s="28" t="s">
        <v>1933</v>
      </c>
      <c r="U532" s="19" t="s">
        <v>550</v>
      </c>
      <c r="V532" s="19">
        <v>0</v>
      </c>
      <c r="X532" t="b">
        <f>VLOOKUP(B532,'M10B Order'!B:F,5,FALSE)=W532</f>
        <v>1</v>
      </c>
    </row>
    <row r="533" spans="1:24" x14ac:dyDescent="0.2">
      <c r="A533" s="19">
        <v>554919550</v>
      </c>
      <c r="B533" s="19" t="s">
        <v>352</v>
      </c>
      <c r="C533" s="19" t="s">
        <v>351</v>
      </c>
      <c r="D533" s="19" t="s">
        <v>370</v>
      </c>
      <c r="E533" s="19" t="s">
        <v>1778</v>
      </c>
      <c r="F533" s="19">
        <v>508804191</v>
      </c>
      <c r="G533" s="19">
        <v>8</v>
      </c>
      <c r="H533" s="19">
        <v>8</v>
      </c>
      <c r="I533" s="19">
        <v>471</v>
      </c>
      <c r="J533" s="25">
        <v>0.95541399999999999</v>
      </c>
      <c r="K533" s="26">
        <v>168.00004800000005</v>
      </c>
      <c r="L533" s="26">
        <v>1752</v>
      </c>
      <c r="M533" s="26">
        <v>7</v>
      </c>
      <c r="N533" s="26">
        <v>6</v>
      </c>
      <c r="O533" s="27">
        <v>13</v>
      </c>
      <c r="P533" s="19">
        <v>12</v>
      </c>
      <c r="Q533" s="19">
        <v>1</v>
      </c>
      <c r="R533" s="19" t="s">
        <v>431</v>
      </c>
      <c r="S533" s="26">
        <v>0</v>
      </c>
      <c r="T533" s="28">
        <v>19</v>
      </c>
      <c r="U533" s="19" t="s">
        <v>431</v>
      </c>
      <c r="V533" s="19" t="s">
        <v>431</v>
      </c>
      <c r="X533" t="b">
        <f>VLOOKUP(B533,'M10B Order'!B:F,5,FALSE)=W533</f>
        <v>1</v>
      </c>
    </row>
    <row r="534" spans="1:24" x14ac:dyDescent="0.2">
      <c r="A534" s="19">
        <v>555032720</v>
      </c>
      <c r="B534" s="19" t="s">
        <v>385</v>
      </c>
      <c r="C534" s="19" t="s">
        <v>386</v>
      </c>
      <c r="D534" s="19" t="s">
        <v>370</v>
      </c>
      <c r="E534" s="19" t="s">
        <v>1778</v>
      </c>
      <c r="F534" s="19">
        <v>508804191</v>
      </c>
      <c r="G534" s="19">
        <v>8</v>
      </c>
      <c r="H534" s="19">
        <v>8</v>
      </c>
      <c r="I534" s="19">
        <v>1044</v>
      </c>
      <c r="J534" s="25">
        <v>0.92432999999999998</v>
      </c>
      <c r="K534" s="26">
        <v>631.99584000000016</v>
      </c>
      <c r="L534" s="26">
        <v>1288</v>
      </c>
      <c r="M534" s="26">
        <v>7</v>
      </c>
      <c r="N534" s="26">
        <v>6</v>
      </c>
      <c r="O534" s="27">
        <v>13</v>
      </c>
      <c r="P534" s="19">
        <v>12</v>
      </c>
      <c r="Q534" s="19">
        <v>1</v>
      </c>
      <c r="R534" s="19" t="s">
        <v>431</v>
      </c>
      <c r="S534" s="26">
        <v>0</v>
      </c>
      <c r="T534" s="28">
        <v>16</v>
      </c>
      <c r="U534" s="19" t="s">
        <v>431</v>
      </c>
      <c r="V534" s="19" t="s">
        <v>431</v>
      </c>
      <c r="X534" t="b">
        <f>VLOOKUP(B534,'M10B Order'!B:F,5,FALSE)=W534</f>
        <v>1</v>
      </c>
    </row>
    <row r="535" spans="1:24" x14ac:dyDescent="0.2">
      <c r="A535" s="19">
        <v>558137667</v>
      </c>
      <c r="B535" s="19" t="s">
        <v>508</v>
      </c>
      <c r="C535" s="19" t="s">
        <v>507</v>
      </c>
      <c r="D535" s="19" t="s">
        <v>370</v>
      </c>
      <c r="E535" s="19" t="s">
        <v>1778</v>
      </c>
      <c r="F535" s="19">
        <v>508804191</v>
      </c>
      <c r="G535" s="19">
        <v>8</v>
      </c>
      <c r="H535" s="19">
        <v>8</v>
      </c>
      <c r="I535" s="19">
        <v>3407</v>
      </c>
      <c r="J535" s="25">
        <v>0.93278499999999998</v>
      </c>
      <c r="K535" s="26">
        <v>1832.0120400000008</v>
      </c>
      <c r="L535" s="26">
        <v>120</v>
      </c>
      <c r="M535" s="26">
        <v>7</v>
      </c>
      <c r="N535" s="26">
        <v>6</v>
      </c>
      <c r="O535" s="27">
        <v>13</v>
      </c>
      <c r="P535" s="19">
        <v>12</v>
      </c>
      <c r="Q535" s="19">
        <v>1</v>
      </c>
      <c r="R535" s="19" t="s">
        <v>431</v>
      </c>
      <c r="S535" s="26">
        <v>0</v>
      </c>
      <c r="T535" s="28">
        <v>14</v>
      </c>
      <c r="U535" s="19" t="s">
        <v>544</v>
      </c>
      <c r="V535" s="19">
        <v>0</v>
      </c>
      <c r="X535" t="b">
        <f>VLOOKUP(B535,'M10B Order'!B:F,5,FALSE)=W535</f>
        <v>1</v>
      </c>
    </row>
    <row r="536" spans="1:24" x14ac:dyDescent="0.2">
      <c r="A536" s="19">
        <v>573626636</v>
      </c>
      <c r="B536" s="19" t="s">
        <v>956</v>
      </c>
      <c r="C536" s="19" t="s">
        <v>957</v>
      </c>
      <c r="D536" s="19" t="s">
        <v>370</v>
      </c>
      <c r="E536" s="19" t="s">
        <v>1778</v>
      </c>
      <c r="F536" s="19">
        <v>508804191</v>
      </c>
      <c r="G536" s="19">
        <v>8</v>
      </c>
      <c r="H536" s="19">
        <v>8</v>
      </c>
      <c r="I536" s="19">
        <v>198</v>
      </c>
      <c r="J536" s="25">
        <v>0.99494899999999997</v>
      </c>
      <c r="K536" s="26">
        <v>8.0007840000000439</v>
      </c>
      <c r="L536" s="26">
        <v>3104</v>
      </c>
      <c r="M536" s="26">
        <v>7</v>
      </c>
      <c r="N536" s="26">
        <v>6</v>
      </c>
      <c r="O536" s="27">
        <v>13</v>
      </c>
      <c r="P536" s="19">
        <v>12</v>
      </c>
      <c r="Q536" s="19">
        <v>1</v>
      </c>
      <c r="R536" s="19" t="s">
        <v>431</v>
      </c>
      <c r="S536" s="26">
        <v>0</v>
      </c>
      <c r="T536" s="28" t="s">
        <v>1933</v>
      </c>
      <c r="U536" s="19" t="s">
        <v>431</v>
      </c>
      <c r="V536" s="19" t="s">
        <v>431</v>
      </c>
      <c r="X536" t="b">
        <f>VLOOKUP(B536,'M10B Order'!B:F,5,FALSE)=W536</f>
        <v>1</v>
      </c>
    </row>
    <row r="537" spans="1:24" x14ac:dyDescent="0.2">
      <c r="A537" s="19">
        <v>573626613</v>
      </c>
      <c r="B537" s="19" t="s">
        <v>954</v>
      </c>
      <c r="C537" s="19" t="s">
        <v>955</v>
      </c>
      <c r="D537" s="19" t="s">
        <v>370</v>
      </c>
      <c r="E537" s="19" t="s">
        <v>1778</v>
      </c>
      <c r="F537" s="19">
        <v>508804191</v>
      </c>
      <c r="G537" s="19">
        <v>8</v>
      </c>
      <c r="H537" s="19">
        <v>8</v>
      </c>
      <c r="I537" s="19">
        <v>1378</v>
      </c>
      <c r="J537" s="25">
        <v>0.984761</v>
      </c>
      <c r="K537" s="26">
        <v>167.99473600000002</v>
      </c>
      <c r="L537" s="26">
        <v>5360</v>
      </c>
      <c r="M537" s="26">
        <v>7</v>
      </c>
      <c r="N537" s="26">
        <v>6</v>
      </c>
      <c r="O537" s="27">
        <v>13</v>
      </c>
      <c r="P537" s="19">
        <v>12</v>
      </c>
      <c r="Q537" s="19">
        <v>1</v>
      </c>
      <c r="R537" s="19" t="s">
        <v>431</v>
      </c>
      <c r="S537" s="26">
        <v>0</v>
      </c>
      <c r="T537" s="28">
        <v>27</v>
      </c>
      <c r="U537" s="19" t="s">
        <v>719</v>
      </c>
      <c r="V537" s="19">
        <v>0</v>
      </c>
      <c r="X537" t="b">
        <f>VLOOKUP(B537,'M10B Order'!B:F,5,FALSE)=W537</f>
        <v>1</v>
      </c>
    </row>
    <row r="538" spans="1:24" x14ac:dyDescent="0.2">
      <c r="A538" s="19">
        <v>573626628</v>
      </c>
      <c r="B538" s="19" t="s">
        <v>950</v>
      </c>
      <c r="C538" s="19" t="s">
        <v>951</v>
      </c>
      <c r="D538" s="19" t="s">
        <v>370</v>
      </c>
      <c r="E538" s="19" t="s">
        <v>1778</v>
      </c>
      <c r="F538" s="19">
        <v>508804191</v>
      </c>
      <c r="G538" s="19">
        <v>8</v>
      </c>
      <c r="H538" s="19">
        <v>8</v>
      </c>
      <c r="I538" s="19">
        <v>1233</v>
      </c>
      <c r="J538" s="25">
        <v>0.98864600000000002</v>
      </c>
      <c r="K538" s="26">
        <v>111.99585599999976</v>
      </c>
      <c r="L538" s="26">
        <v>1928</v>
      </c>
      <c r="M538" s="26">
        <v>7</v>
      </c>
      <c r="N538" s="26">
        <v>6</v>
      </c>
      <c r="O538" s="27">
        <v>13</v>
      </c>
      <c r="P538" s="19">
        <v>12</v>
      </c>
      <c r="Q538" s="19">
        <v>1</v>
      </c>
      <c r="R538" s="19" t="s">
        <v>431</v>
      </c>
      <c r="S538" s="26">
        <v>0</v>
      </c>
      <c r="T538" s="28">
        <v>16</v>
      </c>
      <c r="U538" s="19" t="s">
        <v>1011</v>
      </c>
      <c r="V538" s="19">
        <v>0</v>
      </c>
      <c r="X538" t="b">
        <f>VLOOKUP(B538,'M10B Order'!B:F,5,FALSE)=W538</f>
        <v>1</v>
      </c>
    </row>
    <row r="539" spans="1:24" x14ac:dyDescent="0.2">
      <c r="A539" s="19">
        <v>573626624</v>
      </c>
      <c r="B539" s="19" t="s">
        <v>948</v>
      </c>
      <c r="C539" s="19" t="s">
        <v>949</v>
      </c>
      <c r="D539" s="19" t="s">
        <v>370</v>
      </c>
      <c r="E539" s="19" t="s">
        <v>1778</v>
      </c>
      <c r="F539" s="19">
        <v>508804191</v>
      </c>
      <c r="G539" s="19">
        <v>8</v>
      </c>
      <c r="H539" s="19">
        <v>8</v>
      </c>
      <c r="I539" s="19">
        <v>1424</v>
      </c>
      <c r="J539" s="25">
        <v>0.98455099999999995</v>
      </c>
      <c r="K539" s="26">
        <v>175.99500800000052</v>
      </c>
      <c r="L539" s="26">
        <v>4152</v>
      </c>
      <c r="M539" s="26">
        <v>7</v>
      </c>
      <c r="N539" s="26">
        <v>6</v>
      </c>
      <c r="O539" s="27">
        <v>13</v>
      </c>
      <c r="P539" s="19">
        <v>12</v>
      </c>
      <c r="Q539" s="19">
        <v>1</v>
      </c>
      <c r="R539" s="19" t="s">
        <v>431</v>
      </c>
      <c r="S539" s="26">
        <v>0</v>
      </c>
      <c r="T539" s="28">
        <v>23</v>
      </c>
      <c r="U539" s="19" t="s">
        <v>758</v>
      </c>
      <c r="V539" s="19" t="s">
        <v>431</v>
      </c>
      <c r="X539" t="b">
        <f>VLOOKUP(B539,'M10B Order'!B:F,5,FALSE)=W539</f>
        <v>1</v>
      </c>
    </row>
    <row r="540" spans="1:24" x14ac:dyDescent="0.2">
      <c r="A540" s="19">
        <v>573626685</v>
      </c>
      <c r="B540" s="19" t="s">
        <v>946</v>
      </c>
      <c r="C540" s="19" t="s">
        <v>947</v>
      </c>
      <c r="D540" s="19" t="s">
        <v>370</v>
      </c>
      <c r="E540" s="19" t="s">
        <v>1778</v>
      </c>
      <c r="F540" s="19">
        <v>508804191</v>
      </c>
      <c r="G540" s="19">
        <v>8</v>
      </c>
      <c r="H540" s="19">
        <v>8</v>
      </c>
      <c r="I540" s="19">
        <v>3049</v>
      </c>
      <c r="J540" s="25">
        <v>0.98425700000000005</v>
      </c>
      <c r="K540" s="26">
        <v>384.00325599999883</v>
      </c>
      <c r="L540" s="26">
        <v>8144</v>
      </c>
      <c r="M540" s="26">
        <v>7</v>
      </c>
      <c r="N540" s="26">
        <v>6</v>
      </c>
      <c r="O540" s="27">
        <v>13</v>
      </c>
      <c r="P540" s="19">
        <v>12</v>
      </c>
      <c r="Q540" s="19">
        <v>1</v>
      </c>
      <c r="R540" s="19" t="s">
        <v>431</v>
      </c>
      <c r="S540" s="26">
        <v>0</v>
      </c>
      <c r="T540" s="28">
        <v>16</v>
      </c>
      <c r="U540" s="19" t="s">
        <v>695</v>
      </c>
      <c r="V540" s="19">
        <v>0</v>
      </c>
      <c r="X540" t="b">
        <f>VLOOKUP(B540,'M10B Order'!B:F,5,FALSE)=W540</f>
        <v>1</v>
      </c>
    </row>
    <row r="541" spans="1:24" x14ac:dyDescent="0.2">
      <c r="A541" s="19">
        <v>573626690</v>
      </c>
      <c r="B541" s="19" t="s">
        <v>936</v>
      </c>
      <c r="C541" s="19" t="s">
        <v>937</v>
      </c>
      <c r="D541" s="19" t="s">
        <v>370</v>
      </c>
      <c r="E541" s="19" t="s">
        <v>1778</v>
      </c>
      <c r="F541" s="19">
        <v>508804191</v>
      </c>
      <c r="G541" s="19">
        <v>8</v>
      </c>
      <c r="H541" s="19">
        <v>8</v>
      </c>
      <c r="I541" s="19">
        <v>1377</v>
      </c>
      <c r="J541" s="25">
        <v>0.97894000000000003</v>
      </c>
      <c r="K541" s="26">
        <v>231.99695999999963</v>
      </c>
      <c r="L541" s="26">
        <v>3808</v>
      </c>
      <c r="M541" s="26">
        <v>7</v>
      </c>
      <c r="N541" s="26">
        <v>6</v>
      </c>
      <c r="O541" s="27">
        <v>13</v>
      </c>
      <c r="P541" s="19">
        <v>12</v>
      </c>
      <c r="Q541" s="19">
        <v>1</v>
      </c>
      <c r="R541" s="19" t="s">
        <v>431</v>
      </c>
      <c r="S541" s="26">
        <v>0</v>
      </c>
      <c r="T541" s="28">
        <v>15</v>
      </c>
      <c r="U541" s="19" t="s">
        <v>1009</v>
      </c>
      <c r="V541" s="19">
        <v>217.68556000000018</v>
      </c>
      <c r="X541" t="b">
        <f>VLOOKUP(B541,'M10B Order'!B:F,5,FALSE)=W541</f>
        <v>1</v>
      </c>
    </row>
    <row r="542" spans="1:24" x14ac:dyDescent="0.2">
      <c r="A542" s="19">
        <v>573626621</v>
      </c>
      <c r="B542" s="19" t="s">
        <v>934</v>
      </c>
      <c r="C542" s="19" t="s">
        <v>935</v>
      </c>
      <c r="D542" s="19" t="s">
        <v>370</v>
      </c>
      <c r="E542" s="19" t="s">
        <v>1778</v>
      </c>
      <c r="F542" s="19">
        <v>508804191</v>
      </c>
      <c r="G542" s="19">
        <v>8</v>
      </c>
      <c r="H542" s="19">
        <v>8</v>
      </c>
      <c r="I542" s="19">
        <v>457</v>
      </c>
      <c r="J542" s="25">
        <v>0.99781200000000003</v>
      </c>
      <c r="K542" s="26">
        <v>7.9993279999998821</v>
      </c>
      <c r="L542" s="26">
        <v>3224</v>
      </c>
      <c r="M542" s="26">
        <v>7</v>
      </c>
      <c r="N542" s="26">
        <v>6</v>
      </c>
      <c r="O542" s="27">
        <v>13</v>
      </c>
      <c r="P542" s="19">
        <v>12</v>
      </c>
      <c r="Q542" s="19">
        <v>1</v>
      </c>
      <c r="R542" s="19" t="s">
        <v>431</v>
      </c>
      <c r="S542" s="26">
        <v>0</v>
      </c>
      <c r="T542" s="28" t="s">
        <v>1933</v>
      </c>
      <c r="U542" s="19" t="s">
        <v>1008</v>
      </c>
      <c r="V542" s="19" t="s">
        <v>431</v>
      </c>
      <c r="X542" t="b">
        <f>VLOOKUP(B542,'M10B Order'!B:F,5,FALSE)=W542</f>
        <v>1</v>
      </c>
    </row>
    <row r="543" spans="1:24" x14ac:dyDescent="0.2">
      <c r="A543" s="19">
        <v>573626635</v>
      </c>
      <c r="B543" s="19" t="s">
        <v>932</v>
      </c>
      <c r="C543" s="19" t="s">
        <v>933</v>
      </c>
      <c r="D543" s="19" t="s">
        <v>370</v>
      </c>
      <c r="E543" s="19" t="s">
        <v>1778</v>
      </c>
      <c r="F543" s="19">
        <v>508804191</v>
      </c>
      <c r="G543" s="19">
        <v>8</v>
      </c>
      <c r="H543" s="19">
        <v>8</v>
      </c>
      <c r="I543" s="19">
        <v>1233</v>
      </c>
      <c r="J543" s="25">
        <v>0.99107900000000004</v>
      </c>
      <c r="K543" s="26">
        <v>87.99674399999958</v>
      </c>
      <c r="L543" s="26">
        <v>6240</v>
      </c>
      <c r="M543" s="26">
        <v>7</v>
      </c>
      <c r="N543" s="26">
        <v>6</v>
      </c>
      <c r="O543" s="27">
        <v>13</v>
      </c>
      <c r="P543" s="19">
        <v>12</v>
      </c>
      <c r="Q543" s="19">
        <v>1</v>
      </c>
      <c r="R543" s="19" t="s">
        <v>431</v>
      </c>
      <c r="S543" s="26">
        <v>0</v>
      </c>
      <c r="T543" s="28" t="s">
        <v>1933</v>
      </c>
      <c r="U543" s="19">
        <v>0</v>
      </c>
      <c r="V543" s="19" t="s">
        <v>431</v>
      </c>
      <c r="X543" t="b">
        <f>VLOOKUP(B543,'M10B Order'!B:F,5,FALSE)=W543</f>
        <v>1</v>
      </c>
    </row>
    <row r="544" spans="1:24" x14ac:dyDescent="0.2">
      <c r="A544" s="19">
        <v>573626679</v>
      </c>
      <c r="B544" s="19" t="s">
        <v>922</v>
      </c>
      <c r="C544" s="19" t="s">
        <v>923</v>
      </c>
      <c r="D544" s="19" t="s">
        <v>370</v>
      </c>
      <c r="E544" s="19" t="s">
        <v>1778</v>
      </c>
      <c r="F544" s="19">
        <v>508804191</v>
      </c>
      <c r="G544" s="19">
        <v>8</v>
      </c>
      <c r="H544" s="19">
        <v>8</v>
      </c>
      <c r="I544" s="19">
        <v>457</v>
      </c>
      <c r="J544" s="25">
        <v>0.99781200000000003</v>
      </c>
      <c r="K544" s="26">
        <v>7.9993279999998821</v>
      </c>
      <c r="L544" s="26">
        <v>264</v>
      </c>
      <c r="M544" s="26">
        <v>7</v>
      </c>
      <c r="N544" s="26">
        <v>6</v>
      </c>
      <c r="O544" s="27">
        <v>13</v>
      </c>
      <c r="P544" s="19">
        <v>12</v>
      </c>
      <c r="Q544" s="19">
        <v>1</v>
      </c>
      <c r="R544" s="19" t="s">
        <v>431</v>
      </c>
      <c r="S544" s="26">
        <v>0</v>
      </c>
      <c r="T544" s="28">
        <v>37</v>
      </c>
      <c r="U544" s="19" t="s">
        <v>729</v>
      </c>
      <c r="V544" s="19">
        <v>0</v>
      </c>
      <c r="X544" t="b">
        <f>VLOOKUP(B544,'M10B Order'!B:F,5,FALSE)=W544</f>
        <v>1</v>
      </c>
    </row>
    <row r="545" spans="1:24" x14ac:dyDescent="0.2">
      <c r="A545" s="19">
        <v>573626684</v>
      </c>
      <c r="B545" s="19" t="s">
        <v>920</v>
      </c>
      <c r="C545" s="19" t="s">
        <v>921</v>
      </c>
      <c r="D545" s="19" t="s">
        <v>370</v>
      </c>
      <c r="E545" s="19" t="s">
        <v>1778</v>
      </c>
      <c r="F545" s="19">
        <v>508804191</v>
      </c>
      <c r="G545" s="19">
        <v>8</v>
      </c>
      <c r="H545" s="19">
        <v>8</v>
      </c>
      <c r="I545" s="19">
        <v>1378</v>
      </c>
      <c r="J545" s="25">
        <v>0.98258299999999998</v>
      </c>
      <c r="K545" s="26">
        <v>192.00500800000017</v>
      </c>
      <c r="L545" s="26">
        <v>3024</v>
      </c>
      <c r="M545" s="26">
        <v>7</v>
      </c>
      <c r="N545" s="26">
        <v>6</v>
      </c>
      <c r="O545" s="27">
        <v>13</v>
      </c>
      <c r="P545" s="19">
        <v>12</v>
      </c>
      <c r="Q545" s="19">
        <v>1</v>
      </c>
      <c r="R545" s="19" t="s">
        <v>431</v>
      </c>
      <c r="S545" s="26">
        <v>0</v>
      </c>
      <c r="T545" s="28">
        <v>22</v>
      </c>
      <c r="U545" s="19" t="s">
        <v>747</v>
      </c>
      <c r="V545" s="19" t="s">
        <v>431</v>
      </c>
      <c r="X545" t="b">
        <f>VLOOKUP(B545,'M10B Order'!B:F,5,FALSE)=W545</f>
        <v>1</v>
      </c>
    </row>
    <row r="546" spans="1:24" x14ac:dyDescent="0.2">
      <c r="A546" s="19">
        <v>573626622</v>
      </c>
      <c r="B546" s="19" t="s">
        <v>914</v>
      </c>
      <c r="C546" s="19" t="s">
        <v>915</v>
      </c>
      <c r="D546" s="19" t="s">
        <v>370</v>
      </c>
      <c r="E546" s="19" t="s">
        <v>1778</v>
      </c>
      <c r="F546" s="19">
        <v>508804191</v>
      </c>
      <c r="G546" s="19">
        <v>8</v>
      </c>
      <c r="H546" s="19">
        <v>8</v>
      </c>
      <c r="I546" s="19">
        <v>1233</v>
      </c>
      <c r="J546" s="25">
        <v>0.98134600000000005</v>
      </c>
      <c r="K546" s="26">
        <v>184.0030559999995</v>
      </c>
      <c r="L546" s="26">
        <v>1936</v>
      </c>
      <c r="M546" s="26">
        <v>7</v>
      </c>
      <c r="N546" s="26">
        <v>6</v>
      </c>
      <c r="O546" s="27">
        <v>13</v>
      </c>
      <c r="P546" s="19">
        <v>12</v>
      </c>
      <c r="Q546" s="19">
        <v>1</v>
      </c>
      <c r="R546" s="19" t="s">
        <v>431</v>
      </c>
      <c r="S546" s="26">
        <v>0</v>
      </c>
      <c r="T546" s="28">
        <v>28</v>
      </c>
      <c r="U546" s="19" t="s">
        <v>702</v>
      </c>
      <c r="V546" s="19" t="s">
        <v>431</v>
      </c>
      <c r="X546" t="b">
        <f>VLOOKUP(B546,'M10B Order'!B:F,5,FALSE)=W546</f>
        <v>1</v>
      </c>
    </row>
    <row r="547" spans="1:24" x14ac:dyDescent="0.2">
      <c r="A547" s="19">
        <v>573626626</v>
      </c>
      <c r="B547" s="19" t="s">
        <v>912</v>
      </c>
      <c r="C547" s="19" t="s">
        <v>913</v>
      </c>
      <c r="D547" s="19" t="s">
        <v>370</v>
      </c>
      <c r="E547" s="19" t="s">
        <v>1778</v>
      </c>
      <c r="F547" s="19">
        <v>508804191</v>
      </c>
      <c r="G547" s="19">
        <v>8</v>
      </c>
      <c r="H547" s="19">
        <v>8</v>
      </c>
      <c r="I547" s="19">
        <v>1625</v>
      </c>
      <c r="J547" s="25">
        <v>0.98030799999999996</v>
      </c>
      <c r="K547" s="26">
        <v>255.99600000000055</v>
      </c>
      <c r="L547" s="26">
        <v>4864</v>
      </c>
      <c r="M547" s="26">
        <v>7</v>
      </c>
      <c r="N547" s="26">
        <v>6</v>
      </c>
      <c r="O547" s="27">
        <v>13</v>
      </c>
      <c r="P547" s="19">
        <v>12</v>
      </c>
      <c r="Q547" s="19">
        <v>1</v>
      </c>
      <c r="R547" s="19" t="s">
        <v>431</v>
      </c>
      <c r="S547" s="26">
        <v>0</v>
      </c>
      <c r="T547" s="28">
        <v>20</v>
      </c>
      <c r="U547" s="19" t="s">
        <v>745</v>
      </c>
      <c r="V547" s="19">
        <v>0</v>
      </c>
      <c r="X547" t="b">
        <f>VLOOKUP(B547,'M10B Order'!B:F,5,FALSE)=W547</f>
        <v>1</v>
      </c>
    </row>
    <row r="548" spans="1:24" x14ac:dyDescent="0.2">
      <c r="A548" s="19">
        <v>573626682</v>
      </c>
      <c r="B548" s="19" t="s">
        <v>908</v>
      </c>
      <c r="C548" s="19" t="s">
        <v>909</v>
      </c>
      <c r="D548" s="19" t="s">
        <v>370</v>
      </c>
      <c r="E548" s="19" t="s">
        <v>1778</v>
      </c>
      <c r="F548" s="19">
        <v>508804191</v>
      </c>
      <c r="G548" s="19">
        <v>8</v>
      </c>
      <c r="H548" s="19">
        <v>8</v>
      </c>
      <c r="I548" s="19">
        <v>1378</v>
      </c>
      <c r="J548" s="25">
        <v>0.99056599999999995</v>
      </c>
      <c r="K548" s="26">
        <v>104.00041600000058</v>
      </c>
      <c r="L548" s="26">
        <v>3168</v>
      </c>
      <c r="M548" s="26">
        <v>7</v>
      </c>
      <c r="N548" s="26">
        <v>6</v>
      </c>
      <c r="O548" s="27">
        <v>13</v>
      </c>
      <c r="P548" s="19">
        <v>12</v>
      </c>
      <c r="Q548" s="19">
        <v>1</v>
      </c>
      <c r="R548" s="19" t="s">
        <v>431</v>
      </c>
      <c r="S548" s="26">
        <v>0</v>
      </c>
      <c r="T548" s="28">
        <v>19</v>
      </c>
      <c r="U548" s="19" t="s">
        <v>741</v>
      </c>
      <c r="V548" s="19">
        <v>0</v>
      </c>
      <c r="X548" t="b">
        <f>VLOOKUP(B548,'M10B Order'!B:F,5,FALSE)=W548</f>
        <v>1</v>
      </c>
    </row>
    <row r="549" spans="1:24" x14ac:dyDescent="0.2">
      <c r="A549" s="19">
        <v>573626688</v>
      </c>
      <c r="B549" s="19" t="s">
        <v>906</v>
      </c>
      <c r="C549" s="19" t="s">
        <v>907</v>
      </c>
      <c r="D549" s="19" t="s">
        <v>370</v>
      </c>
      <c r="E549" s="19" t="s">
        <v>1778</v>
      </c>
      <c r="F549" s="19">
        <v>508804191</v>
      </c>
      <c r="G549" s="19">
        <v>8</v>
      </c>
      <c r="H549" s="19">
        <v>8</v>
      </c>
      <c r="I549" s="19">
        <v>850</v>
      </c>
      <c r="J549" s="25">
        <v>0.99411799999999995</v>
      </c>
      <c r="K549" s="26">
        <v>39.997600000000368</v>
      </c>
      <c r="L549" s="26">
        <v>4984</v>
      </c>
      <c r="M549" s="26">
        <v>7</v>
      </c>
      <c r="N549" s="26">
        <v>6</v>
      </c>
      <c r="O549" s="27">
        <v>13</v>
      </c>
      <c r="P549" s="19">
        <v>12</v>
      </c>
      <c r="Q549" s="19">
        <v>1</v>
      </c>
      <c r="R549" s="19" t="s">
        <v>431</v>
      </c>
      <c r="S549" s="26">
        <v>0</v>
      </c>
      <c r="T549" s="28" t="s">
        <v>1933</v>
      </c>
      <c r="U549" s="19" t="s">
        <v>995</v>
      </c>
      <c r="V549" s="19" t="s">
        <v>431</v>
      </c>
      <c r="X549" t="b">
        <f>VLOOKUP(B549,'M10B Order'!B:F,5,FALSE)=W549</f>
        <v>1</v>
      </c>
    </row>
    <row r="550" spans="1:24" x14ac:dyDescent="0.2">
      <c r="A550" s="19">
        <v>573626633</v>
      </c>
      <c r="B550" s="19" t="s">
        <v>904</v>
      </c>
      <c r="C550" s="19" t="s">
        <v>905</v>
      </c>
      <c r="D550" s="19" t="s">
        <v>370</v>
      </c>
      <c r="E550" s="19" t="s">
        <v>1778</v>
      </c>
      <c r="F550" s="19">
        <v>508804191</v>
      </c>
      <c r="G550" s="19">
        <v>8</v>
      </c>
      <c r="H550" s="19">
        <v>8</v>
      </c>
      <c r="I550" s="19">
        <v>1771</v>
      </c>
      <c r="J550" s="25">
        <v>0.98757799999999996</v>
      </c>
      <c r="K550" s="26">
        <v>175.99489600000064</v>
      </c>
      <c r="L550" s="26">
        <v>6392</v>
      </c>
      <c r="M550" s="26">
        <v>7</v>
      </c>
      <c r="N550" s="26">
        <v>6</v>
      </c>
      <c r="O550" s="27">
        <v>13</v>
      </c>
      <c r="P550" s="19">
        <v>12</v>
      </c>
      <c r="Q550" s="19">
        <v>1</v>
      </c>
      <c r="R550" s="19" t="s">
        <v>431</v>
      </c>
      <c r="S550" s="26">
        <v>0</v>
      </c>
      <c r="T550" s="28">
        <v>31</v>
      </c>
      <c r="U550" s="19" t="s">
        <v>996</v>
      </c>
      <c r="V550" s="19">
        <v>0</v>
      </c>
      <c r="X550" t="b">
        <f>VLOOKUP(B550,'M10B Order'!B:F,5,FALSE)=W550</f>
        <v>1</v>
      </c>
    </row>
    <row r="551" spans="1:24" x14ac:dyDescent="0.2">
      <c r="A551" s="19">
        <v>573626675</v>
      </c>
      <c r="B551" s="19" t="s">
        <v>902</v>
      </c>
      <c r="C551" s="19" t="s">
        <v>903</v>
      </c>
      <c r="D551" s="19" t="s">
        <v>370</v>
      </c>
      <c r="E551" s="19" t="s">
        <v>1778</v>
      </c>
      <c r="F551" s="19">
        <v>508804191</v>
      </c>
      <c r="G551" s="19">
        <v>8</v>
      </c>
      <c r="H551" s="19">
        <v>8</v>
      </c>
      <c r="I551" s="19">
        <v>2818</v>
      </c>
      <c r="J551" s="25">
        <v>0.98296700000000004</v>
      </c>
      <c r="K551" s="26">
        <v>383.99195199999923</v>
      </c>
      <c r="L551" s="26">
        <v>9912</v>
      </c>
      <c r="M551" s="26">
        <v>7</v>
      </c>
      <c r="N551" s="26">
        <v>6</v>
      </c>
      <c r="O551" s="27">
        <v>13</v>
      </c>
      <c r="P551" s="19">
        <v>12</v>
      </c>
      <c r="Q551" s="19">
        <v>1</v>
      </c>
      <c r="R551" s="19" t="s">
        <v>431</v>
      </c>
      <c r="S551" s="26">
        <v>0</v>
      </c>
      <c r="T551" s="28">
        <v>38</v>
      </c>
      <c r="U551" s="19" t="s">
        <v>993</v>
      </c>
      <c r="V551" s="19">
        <v>0</v>
      </c>
      <c r="X551" t="b">
        <f>VLOOKUP(B551,'M10B Order'!B:F,5,FALSE)=W551</f>
        <v>1</v>
      </c>
    </row>
    <row r="552" spans="1:24" x14ac:dyDescent="0.2">
      <c r="A552" s="19">
        <v>573626689</v>
      </c>
      <c r="B552" s="19" t="s">
        <v>900</v>
      </c>
      <c r="C552" s="19" t="s">
        <v>901</v>
      </c>
      <c r="D552" s="19" t="s">
        <v>370</v>
      </c>
      <c r="E552" s="19" t="s">
        <v>1778</v>
      </c>
      <c r="F552" s="19">
        <v>508804191</v>
      </c>
      <c r="G552" s="19">
        <v>8</v>
      </c>
      <c r="H552" s="19">
        <v>8</v>
      </c>
      <c r="I552" s="19">
        <v>1233</v>
      </c>
      <c r="J552" s="25">
        <v>0.98783500000000002</v>
      </c>
      <c r="K552" s="26">
        <v>119.99555999999981</v>
      </c>
      <c r="L552" s="26">
        <v>3472</v>
      </c>
      <c r="M552" s="26">
        <v>7</v>
      </c>
      <c r="N552" s="26">
        <v>6</v>
      </c>
      <c r="O552" s="27">
        <v>13</v>
      </c>
      <c r="P552" s="19">
        <v>12</v>
      </c>
      <c r="Q552" s="19">
        <v>1</v>
      </c>
      <c r="R552" s="19" t="s">
        <v>431</v>
      </c>
      <c r="S552" s="26">
        <v>0</v>
      </c>
      <c r="T552" s="28">
        <v>27</v>
      </c>
      <c r="U552" s="19" t="s">
        <v>991</v>
      </c>
      <c r="V552" s="19">
        <v>0</v>
      </c>
      <c r="X552" t="b">
        <f>VLOOKUP(B552,'M10B Order'!B:F,5,FALSE)=W552</f>
        <v>1</v>
      </c>
    </row>
    <row r="553" spans="1:24" x14ac:dyDescent="0.2">
      <c r="A553" s="19">
        <v>573626678</v>
      </c>
      <c r="B553" s="19" t="s">
        <v>896</v>
      </c>
      <c r="C553" s="19" t="s">
        <v>897</v>
      </c>
      <c r="D553" s="19" t="s">
        <v>370</v>
      </c>
      <c r="E553" s="19" t="s">
        <v>1778</v>
      </c>
      <c r="F553" s="19">
        <v>508804191</v>
      </c>
      <c r="G553" s="19">
        <v>8</v>
      </c>
      <c r="H553" s="19">
        <v>8</v>
      </c>
      <c r="I553" s="19">
        <v>457</v>
      </c>
      <c r="J553" s="25">
        <v>0.99343499999999996</v>
      </c>
      <c r="K553" s="26">
        <v>24.001640000000158</v>
      </c>
      <c r="L553" s="26">
        <v>1888</v>
      </c>
      <c r="M553" s="26">
        <v>7</v>
      </c>
      <c r="N553" s="26">
        <v>6</v>
      </c>
      <c r="O553" s="27">
        <v>13</v>
      </c>
      <c r="P553" s="19">
        <v>12</v>
      </c>
      <c r="Q553" s="19">
        <v>1</v>
      </c>
      <c r="R553" s="19" t="s">
        <v>431</v>
      </c>
      <c r="S553" s="26">
        <v>0</v>
      </c>
      <c r="T553" s="28" t="s">
        <v>1933</v>
      </c>
      <c r="U553" s="19" t="s">
        <v>688</v>
      </c>
      <c r="V553" s="19" t="s">
        <v>431</v>
      </c>
      <c r="X553" t="b">
        <f>VLOOKUP(B553,'M10B Order'!B:F,5,FALSE)=W553</f>
        <v>1</v>
      </c>
    </row>
    <row r="554" spans="1:24" x14ac:dyDescent="0.2">
      <c r="A554" s="19">
        <v>573626538</v>
      </c>
      <c r="B554" s="19" t="s">
        <v>894</v>
      </c>
      <c r="C554" s="19" t="s">
        <v>895</v>
      </c>
      <c r="D554" s="19" t="s">
        <v>370</v>
      </c>
      <c r="E554" s="19" t="s">
        <v>1778</v>
      </c>
      <c r="F554" s="19">
        <v>508804191</v>
      </c>
      <c r="G554" s="19">
        <v>8</v>
      </c>
      <c r="H554" s="19">
        <v>8</v>
      </c>
      <c r="I554" s="19">
        <v>1625</v>
      </c>
      <c r="J554" s="25">
        <v>0.98399999999999999</v>
      </c>
      <c r="K554" s="26">
        <v>208.00000000000017</v>
      </c>
      <c r="L554" s="26">
        <v>6968</v>
      </c>
      <c r="M554" s="26">
        <v>7</v>
      </c>
      <c r="N554" s="26">
        <v>6</v>
      </c>
      <c r="O554" s="27">
        <v>13</v>
      </c>
      <c r="P554" s="19">
        <v>12</v>
      </c>
      <c r="Q554" s="19">
        <v>1</v>
      </c>
      <c r="R554" s="19" t="s">
        <v>431</v>
      </c>
      <c r="S554" s="26">
        <v>0</v>
      </c>
      <c r="T554" s="28">
        <v>38</v>
      </c>
      <c r="U554" s="19" t="s">
        <v>693</v>
      </c>
      <c r="V554" s="19">
        <v>0</v>
      </c>
      <c r="X554" t="b">
        <f>VLOOKUP(B554,'M10B Order'!B:F,5,FALSE)=W554</f>
        <v>1</v>
      </c>
    </row>
    <row r="555" spans="1:24" x14ac:dyDescent="0.2">
      <c r="A555" s="19">
        <v>573626503</v>
      </c>
      <c r="B555" s="19" t="s">
        <v>892</v>
      </c>
      <c r="C555" s="19" t="s">
        <v>893</v>
      </c>
      <c r="D555" s="19" t="s">
        <v>370</v>
      </c>
      <c r="E555" s="19" t="s">
        <v>1778</v>
      </c>
      <c r="F555" s="19">
        <v>508804191</v>
      </c>
      <c r="G555" s="19">
        <v>8</v>
      </c>
      <c r="H555" s="19">
        <v>8</v>
      </c>
      <c r="I555" s="19">
        <v>199</v>
      </c>
      <c r="J555" s="25">
        <v>1</v>
      </c>
      <c r="K555" s="26">
        <v>0</v>
      </c>
      <c r="L555" s="26">
        <v>2904</v>
      </c>
      <c r="M555" s="26">
        <v>7</v>
      </c>
      <c r="N555" s="26">
        <v>6</v>
      </c>
      <c r="O555" s="27">
        <v>13</v>
      </c>
      <c r="P555" s="19">
        <v>12</v>
      </c>
      <c r="Q555" s="19">
        <v>1</v>
      </c>
      <c r="R555" s="19" t="s">
        <v>431</v>
      </c>
      <c r="S555" s="26">
        <v>0</v>
      </c>
      <c r="T555" s="28" t="s">
        <v>1933</v>
      </c>
      <c r="U555" s="19" t="s">
        <v>990</v>
      </c>
      <c r="V555" s="19" t="s">
        <v>431</v>
      </c>
      <c r="X555" t="b">
        <f>VLOOKUP(B555,'M10B Order'!B:F,5,FALSE)=W555</f>
        <v>1</v>
      </c>
    </row>
    <row r="556" spans="1:24" x14ac:dyDescent="0.2">
      <c r="A556" s="19">
        <v>573626546</v>
      </c>
      <c r="B556" s="19" t="s">
        <v>890</v>
      </c>
      <c r="C556" s="19" t="s">
        <v>891</v>
      </c>
      <c r="D556" s="19" t="s">
        <v>370</v>
      </c>
      <c r="E556" s="19" t="s">
        <v>1778</v>
      </c>
      <c r="F556" s="19">
        <v>508804191</v>
      </c>
      <c r="G556" s="19">
        <v>8</v>
      </c>
      <c r="H556" s="19">
        <v>8</v>
      </c>
      <c r="I556" s="19">
        <v>1032</v>
      </c>
      <c r="J556" s="25">
        <v>0.98255800000000004</v>
      </c>
      <c r="K556" s="26">
        <v>144.00115199999965</v>
      </c>
      <c r="L556" s="26">
        <v>5608</v>
      </c>
      <c r="M556" s="26">
        <v>7</v>
      </c>
      <c r="N556" s="26">
        <v>6</v>
      </c>
      <c r="O556" s="27">
        <v>13</v>
      </c>
      <c r="P556" s="19">
        <v>12</v>
      </c>
      <c r="Q556" s="19">
        <v>1</v>
      </c>
      <c r="R556" s="19" t="s">
        <v>431</v>
      </c>
      <c r="S556" s="26">
        <v>0</v>
      </c>
      <c r="T556" s="28">
        <v>38</v>
      </c>
      <c r="U556" s="19" t="s">
        <v>988</v>
      </c>
      <c r="V556" s="19">
        <v>0</v>
      </c>
      <c r="X556" t="b">
        <f>VLOOKUP(B556,'M10B Order'!B:F,5,FALSE)=W556</f>
        <v>1</v>
      </c>
    </row>
    <row r="557" spans="1:24" x14ac:dyDescent="0.2">
      <c r="A557" s="19">
        <v>573626502</v>
      </c>
      <c r="B557" s="19" t="s">
        <v>888</v>
      </c>
      <c r="C557" s="19" t="s">
        <v>889</v>
      </c>
      <c r="D557" s="19" t="s">
        <v>370</v>
      </c>
      <c r="E557" s="19" t="s">
        <v>1778</v>
      </c>
      <c r="F557" s="19">
        <v>508804191</v>
      </c>
      <c r="G557" s="19">
        <v>8</v>
      </c>
      <c r="H557" s="19">
        <v>8</v>
      </c>
      <c r="I557" s="19">
        <v>458</v>
      </c>
      <c r="J557" s="25">
        <v>0.9869</v>
      </c>
      <c r="K557" s="26">
        <v>47.998400000000004</v>
      </c>
      <c r="L557" s="26">
        <v>3272</v>
      </c>
      <c r="M557" s="26">
        <v>7</v>
      </c>
      <c r="N557" s="26">
        <v>6</v>
      </c>
      <c r="O557" s="27">
        <v>13</v>
      </c>
      <c r="P557" s="19">
        <v>12</v>
      </c>
      <c r="Q557" s="19">
        <v>1</v>
      </c>
      <c r="R557" s="19" t="s">
        <v>431</v>
      </c>
      <c r="S557" s="26">
        <v>0</v>
      </c>
      <c r="T557" s="28" t="s">
        <v>1933</v>
      </c>
      <c r="U557" s="19" t="s">
        <v>987</v>
      </c>
      <c r="V557" s="19" t="s">
        <v>431</v>
      </c>
      <c r="X557" t="b">
        <f>VLOOKUP(B557,'M10B Order'!B:F,5,FALSE)=W557</f>
        <v>1</v>
      </c>
    </row>
    <row r="558" spans="1:24" x14ac:dyDescent="0.2">
      <c r="A558" s="19">
        <v>573626493</v>
      </c>
      <c r="B558" s="19" t="s">
        <v>884</v>
      </c>
      <c r="C558" s="19" t="s">
        <v>885</v>
      </c>
      <c r="D558" s="19" t="s">
        <v>370</v>
      </c>
      <c r="E558" s="19" t="s">
        <v>1778</v>
      </c>
      <c r="F558" s="19">
        <v>508804191</v>
      </c>
      <c r="G558" s="19">
        <v>8</v>
      </c>
      <c r="H558" s="19">
        <v>8</v>
      </c>
      <c r="I558" s="19">
        <v>199</v>
      </c>
      <c r="J558" s="25">
        <v>0.99497500000000005</v>
      </c>
      <c r="K558" s="26">
        <v>7.9997999999999143</v>
      </c>
      <c r="L558" s="26">
        <v>2304</v>
      </c>
      <c r="M558" s="26">
        <v>7</v>
      </c>
      <c r="N558" s="26">
        <v>6</v>
      </c>
      <c r="O558" s="27">
        <v>13</v>
      </c>
      <c r="P558" s="19">
        <v>12</v>
      </c>
      <c r="Q558" s="19">
        <v>1</v>
      </c>
      <c r="R558" s="19" t="s">
        <v>431</v>
      </c>
      <c r="S558" s="26">
        <v>0</v>
      </c>
      <c r="T558" s="28" t="s">
        <v>1933</v>
      </c>
      <c r="U558" s="19" t="s">
        <v>755</v>
      </c>
      <c r="V558" s="19" t="s">
        <v>431</v>
      </c>
      <c r="X558" t="b">
        <f>VLOOKUP(B558,'M10B Order'!B:F,5,FALSE)=W558</f>
        <v>1</v>
      </c>
    </row>
    <row r="559" spans="1:24" x14ac:dyDescent="0.2">
      <c r="A559" s="19">
        <v>573626534</v>
      </c>
      <c r="B559" s="19" t="s">
        <v>882</v>
      </c>
      <c r="C559" s="19" t="s">
        <v>883</v>
      </c>
      <c r="D559" s="19" t="s">
        <v>370</v>
      </c>
      <c r="E559" s="19" t="s">
        <v>1778</v>
      </c>
      <c r="F559" s="19">
        <v>508804191</v>
      </c>
      <c r="G559" s="19">
        <v>8</v>
      </c>
      <c r="H559" s="19">
        <v>8</v>
      </c>
      <c r="I559" s="19">
        <v>1030</v>
      </c>
      <c r="J559" s="25">
        <v>0.98543700000000001</v>
      </c>
      <c r="K559" s="26">
        <v>119.99911999999993</v>
      </c>
      <c r="L559" s="26">
        <v>3288</v>
      </c>
      <c r="M559" s="26">
        <v>7</v>
      </c>
      <c r="N559" s="26">
        <v>6</v>
      </c>
      <c r="O559" s="27">
        <v>13</v>
      </c>
      <c r="P559" s="19">
        <v>12</v>
      </c>
      <c r="Q559" s="19">
        <v>1</v>
      </c>
      <c r="R559" s="19" t="s">
        <v>431</v>
      </c>
      <c r="S559" s="26">
        <v>0</v>
      </c>
      <c r="T559" s="28">
        <v>27</v>
      </c>
      <c r="U559" s="19" t="s">
        <v>753</v>
      </c>
      <c r="V559" s="19">
        <v>0</v>
      </c>
      <c r="X559" t="b">
        <f>VLOOKUP(B559,'M10B Order'!B:F,5,FALSE)=W559</f>
        <v>1</v>
      </c>
    </row>
    <row r="560" spans="1:24" x14ac:dyDescent="0.2">
      <c r="A560" s="19">
        <v>573626501</v>
      </c>
      <c r="B560" s="19" t="s">
        <v>876</v>
      </c>
      <c r="C560" s="19" t="s">
        <v>877</v>
      </c>
      <c r="D560" s="19" t="s">
        <v>370</v>
      </c>
      <c r="E560" s="19" t="s">
        <v>1778</v>
      </c>
      <c r="F560" s="19">
        <v>508804191</v>
      </c>
      <c r="G560" s="19">
        <v>8</v>
      </c>
      <c r="H560" s="19">
        <v>8</v>
      </c>
      <c r="I560" s="19">
        <v>1379</v>
      </c>
      <c r="J560" s="25">
        <v>0.971719</v>
      </c>
      <c r="K560" s="26">
        <v>311.995992</v>
      </c>
      <c r="L560" s="26">
        <v>2272</v>
      </c>
      <c r="M560" s="26">
        <v>7</v>
      </c>
      <c r="N560" s="26">
        <v>6</v>
      </c>
      <c r="O560" s="27">
        <v>13</v>
      </c>
      <c r="P560" s="19">
        <v>12</v>
      </c>
      <c r="Q560" s="19">
        <v>1</v>
      </c>
      <c r="R560" s="19" t="s">
        <v>431</v>
      </c>
      <c r="S560" s="26">
        <v>0</v>
      </c>
      <c r="T560" s="28">
        <v>17</v>
      </c>
      <c r="U560" s="19" t="s">
        <v>697</v>
      </c>
      <c r="V560" s="19">
        <v>0</v>
      </c>
      <c r="X560" t="b">
        <f>VLOOKUP(B560,'M10B Order'!B:F,5,FALSE)=W560</f>
        <v>1</v>
      </c>
    </row>
    <row r="561" spans="1:24" x14ac:dyDescent="0.2">
      <c r="A561" s="19">
        <v>573626495</v>
      </c>
      <c r="B561" s="19" t="s">
        <v>872</v>
      </c>
      <c r="C561" s="19" t="s">
        <v>873</v>
      </c>
      <c r="D561" s="19" t="s">
        <v>370</v>
      </c>
      <c r="E561" s="19" t="s">
        <v>1778</v>
      </c>
      <c r="F561" s="19">
        <v>508804191</v>
      </c>
      <c r="G561" s="19">
        <v>8</v>
      </c>
      <c r="H561" s="19">
        <v>8</v>
      </c>
      <c r="I561" s="19">
        <v>457</v>
      </c>
      <c r="J561" s="25">
        <v>0.99343499999999996</v>
      </c>
      <c r="K561" s="26">
        <v>24.001640000000158</v>
      </c>
      <c r="L561" s="26">
        <v>2936</v>
      </c>
      <c r="M561" s="26">
        <v>7</v>
      </c>
      <c r="N561" s="26">
        <v>6</v>
      </c>
      <c r="O561" s="27">
        <v>13</v>
      </c>
      <c r="P561" s="19">
        <v>12</v>
      </c>
      <c r="Q561" s="19">
        <v>1</v>
      </c>
      <c r="R561" s="19" t="s">
        <v>431</v>
      </c>
      <c r="S561" s="26">
        <v>0</v>
      </c>
      <c r="T561" s="28" t="s">
        <v>1933</v>
      </c>
      <c r="U561" s="19" t="s">
        <v>983</v>
      </c>
      <c r="V561" s="19">
        <v>0</v>
      </c>
      <c r="X561" t="b">
        <f>VLOOKUP(B561,'M10B Order'!B:F,5,FALSE)=W561</f>
        <v>1</v>
      </c>
    </row>
    <row r="562" spans="1:24" x14ac:dyDescent="0.2">
      <c r="A562" s="19">
        <v>573626499</v>
      </c>
      <c r="B562" s="19" t="s">
        <v>870</v>
      </c>
      <c r="C562" s="19" t="s">
        <v>871</v>
      </c>
      <c r="D562" s="19" t="s">
        <v>370</v>
      </c>
      <c r="E562" s="19" t="s">
        <v>1778</v>
      </c>
      <c r="F562" s="19">
        <v>508804191</v>
      </c>
      <c r="G562" s="19">
        <v>8</v>
      </c>
      <c r="H562" s="19">
        <v>8</v>
      </c>
      <c r="I562" s="19">
        <v>2672</v>
      </c>
      <c r="J562" s="25">
        <v>0.98540399999999995</v>
      </c>
      <c r="K562" s="26">
        <v>312.00409600000114</v>
      </c>
      <c r="L562" s="26">
        <v>6184</v>
      </c>
      <c r="M562" s="26">
        <v>7</v>
      </c>
      <c r="N562" s="26">
        <v>6</v>
      </c>
      <c r="O562" s="27">
        <v>13</v>
      </c>
      <c r="P562" s="19">
        <v>12</v>
      </c>
      <c r="Q562" s="19">
        <v>1</v>
      </c>
      <c r="R562" s="19" t="s">
        <v>431</v>
      </c>
      <c r="S562" s="26">
        <v>0</v>
      </c>
      <c r="T562" s="28">
        <v>16</v>
      </c>
      <c r="U562" s="19" t="s">
        <v>759</v>
      </c>
      <c r="V562" s="19" t="s">
        <v>431</v>
      </c>
      <c r="X562" t="b">
        <f>VLOOKUP(B562,'M10B Order'!B:F,5,FALSE)=W562</f>
        <v>1</v>
      </c>
    </row>
    <row r="563" spans="1:24" x14ac:dyDescent="0.2">
      <c r="A563" s="19">
        <v>573626530</v>
      </c>
      <c r="B563" s="19" t="s">
        <v>868</v>
      </c>
      <c r="C563" s="19" t="s">
        <v>869</v>
      </c>
      <c r="D563" s="19" t="s">
        <v>370</v>
      </c>
      <c r="E563" s="19" t="s">
        <v>1778</v>
      </c>
      <c r="F563" s="19">
        <v>508804191</v>
      </c>
      <c r="G563" s="19">
        <v>8</v>
      </c>
      <c r="H563" s="19">
        <v>8</v>
      </c>
      <c r="I563" s="19">
        <v>1772</v>
      </c>
      <c r="J563" s="25">
        <v>0.98081300000000005</v>
      </c>
      <c r="K563" s="26">
        <v>271.99491199999937</v>
      </c>
      <c r="L563" s="26">
        <v>6408</v>
      </c>
      <c r="M563" s="26">
        <v>7</v>
      </c>
      <c r="N563" s="26">
        <v>6</v>
      </c>
      <c r="O563" s="27">
        <v>13</v>
      </c>
      <c r="P563" s="19">
        <v>12</v>
      </c>
      <c r="Q563" s="19">
        <v>1</v>
      </c>
      <c r="R563" s="19" t="s">
        <v>431</v>
      </c>
      <c r="S563" s="26">
        <v>0</v>
      </c>
      <c r="T563" s="28">
        <v>22</v>
      </c>
      <c r="U563" s="19" t="s">
        <v>737</v>
      </c>
      <c r="V563" s="19">
        <v>1304.3632700000007</v>
      </c>
      <c r="X563" t="b">
        <f>VLOOKUP(B563,'M10B Order'!B:F,5,FALSE)=W563</f>
        <v>1</v>
      </c>
    </row>
    <row r="564" spans="1:24" x14ac:dyDescent="0.2">
      <c r="A564" s="19">
        <v>573626508</v>
      </c>
      <c r="B564" s="19" t="s">
        <v>856</v>
      </c>
      <c r="C564" s="19" t="s">
        <v>857</v>
      </c>
      <c r="D564" s="19" t="s">
        <v>370</v>
      </c>
      <c r="E564" s="19" t="s">
        <v>1778</v>
      </c>
      <c r="F564" s="19">
        <v>508804191</v>
      </c>
      <c r="G564" s="19">
        <v>8</v>
      </c>
      <c r="H564" s="19">
        <v>8</v>
      </c>
      <c r="I564" s="19">
        <v>2032</v>
      </c>
      <c r="J564" s="25">
        <v>0.985236</v>
      </c>
      <c r="K564" s="26">
        <v>240.00358399999999</v>
      </c>
      <c r="L564" s="26">
        <v>9560</v>
      </c>
      <c r="M564" s="26">
        <v>7</v>
      </c>
      <c r="N564" s="26">
        <v>6</v>
      </c>
      <c r="O564" s="27">
        <v>13</v>
      </c>
      <c r="P564" s="19">
        <v>12</v>
      </c>
      <c r="Q564" s="19">
        <v>1</v>
      </c>
      <c r="R564" s="19" t="s">
        <v>431</v>
      </c>
      <c r="S564" s="26">
        <v>0</v>
      </c>
      <c r="T564" s="28" t="s">
        <v>1933</v>
      </c>
      <c r="U564" s="19" t="s">
        <v>431</v>
      </c>
      <c r="V564" s="19" t="s">
        <v>431</v>
      </c>
      <c r="X564" t="b">
        <f>VLOOKUP(B564,'M10B Order'!B:F,5,FALSE)=W564</f>
        <v>1</v>
      </c>
    </row>
    <row r="565" spans="1:24" x14ac:dyDescent="0.2">
      <c r="A565" s="19">
        <v>573626526</v>
      </c>
      <c r="B565" s="19" t="s">
        <v>854</v>
      </c>
      <c r="C565" s="19" t="s">
        <v>855</v>
      </c>
      <c r="D565" s="19" t="s">
        <v>370</v>
      </c>
      <c r="E565" s="19" t="s">
        <v>1778</v>
      </c>
      <c r="F565" s="19">
        <v>508804191</v>
      </c>
      <c r="G565" s="19">
        <v>8</v>
      </c>
      <c r="H565" s="19">
        <v>8</v>
      </c>
      <c r="I565" s="19">
        <v>1379</v>
      </c>
      <c r="J565" s="25">
        <v>0.97969499999999998</v>
      </c>
      <c r="K565" s="26">
        <v>224.0047600000002</v>
      </c>
      <c r="L565" s="26">
        <v>912</v>
      </c>
      <c r="M565" s="26">
        <v>7</v>
      </c>
      <c r="N565" s="26">
        <v>6</v>
      </c>
      <c r="O565" s="27">
        <v>13</v>
      </c>
      <c r="P565" s="19">
        <v>12</v>
      </c>
      <c r="Q565" s="19">
        <v>1</v>
      </c>
      <c r="R565" s="19" t="s">
        <v>431</v>
      </c>
      <c r="S565" s="26">
        <v>0</v>
      </c>
      <c r="T565" s="28">
        <v>21</v>
      </c>
      <c r="U565" s="19" t="s">
        <v>689</v>
      </c>
      <c r="V565" s="19">
        <v>173.81000000000103</v>
      </c>
      <c r="X565" t="b">
        <f>VLOOKUP(B565,'M10B Order'!B:F,5,FALSE)=W565</f>
        <v>1</v>
      </c>
    </row>
    <row r="566" spans="1:24" x14ac:dyDescent="0.2">
      <c r="A566" s="19">
        <v>573626510</v>
      </c>
      <c r="B566" s="19" t="s">
        <v>852</v>
      </c>
      <c r="C566" s="19" t="s">
        <v>853</v>
      </c>
      <c r="D566" s="19" t="s">
        <v>370</v>
      </c>
      <c r="E566" s="19" t="s">
        <v>1778</v>
      </c>
      <c r="F566" s="19">
        <v>508804191</v>
      </c>
      <c r="G566" s="19">
        <v>8</v>
      </c>
      <c r="H566" s="19">
        <v>8</v>
      </c>
      <c r="I566" s="19">
        <v>1233</v>
      </c>
      <c r="J566" s="25">
        <v>0.98540099999999997</v>
      </c>
      <c r="K566" s="26">
        <v>144.00453600000029</v>
      </c>
      <c r="L566" s="26">
        <v>3240</v>
      </c>
      <c r="M566" s="26">
        <v>7</v>
      </c>
      <c r="N566" s="26">
        <v>6</v>
      </c>
      <c r="O566" s="27">
        <v>13</v>
      </c>
      <c r="P566" s="19">
        <v>12</v>
      </c>
      <c r="Q566" s="19">
        <v>1</v>
      </c>
      <c r="R566" s="19" t="s">
        <v>431</v>
      </c>
      <c r="S566" s="26">
        <v>0</v>
      </c>
      <c r="T566" s="28">
        <v>29</v>
      </c>
      <c r="U566" s="19" t="s">
        <v>979</v>
      </c>
      <c r="V566" s="19">
        <v>0</v>
      </c>
      <c r="X566" t="b">
        <f>VLOOKUP(B566,'M10B Order'!B:F,5,FALSE)=W566</f>
        <v>1</v>
      </c>
    </row>
    <row r="567" spans="1:24" x14ac:dyDescent="0.2">
      <c r="A567" s="19">
        <v>573626511</v>
      </c>
      <c r="B567" s="19" t="s">
        <v>850</v>
      </c>
      <c r="C567" s="19" t="s">
        <v>851</v>
      </c>
      <c r="D567" s="19" t="s">
        <v>370</v>
      </c>
      <c r="E567" s="19" t="s">
        <v>1778</v>
      </c>
      <c r="F567" s="19">
        <v>508804191</v>
      </c>
      <c r="G567" s="19">
        <v>8</v>
      </c>
      <c r="H567" s="19">
        <v>8</v>
      </c>
      <c r="I567" s="19">
        <v>1234</v>
      </c>
      <c r="J567" s="25">
        <v>0.98298200000000002</v>
      </c>
      <c r="K567" s="26">
        <v>168.00169599999978</v>
      </c>
      <c r="L567" s="26">
        <v>1904</v>
      </c>
      <c r="M567" s="26">
        <v>7</v>
      </c>
      <c r="N567" s="26">
        <v>6</v>
      </c>
      <c r="O567" s="27">
        <v>13</v>
      </c>
      <c r="P567" s="19">
        <v>12</v>
      </c>
      <c r="Q567" s="19">
        <v>1</v>
      </c>
      <c r="R567" s="19" t="s">
        <v>431</v>
      </c>
      <c r="S567" s="26">
        <v>0</v>
      </c>
      <c r="T567" s="28">
        <v>19</v>
      </c>
      <c r="U567" s="19" t="s">
        <v>712</v>
      </c>
      <c r="V567" s="19" t="s">
        <v>431</v>
      </c>
      <c r="X567" t="b">
        <f>VLOOKUP(B567,'M10B Order'!B:F,5,FALSE)=W567</f>
        <v>1</v>
      </c>
    </row>
    <row r="568" spans="1:24" x14ac:dyDescent="0.2">
      <c r="A568" s="19">
        <v>573626566</v>
      </c>
      <c r="B568" s="19" t="s">
        <v>848</v>
      </c>
      <c r="C568" s="19" t="s">
        <v>849</v>
      </c>
      <c r="D568" s="19" t="s">
        <v>370</v>
      </c>
      <c r="E568" s="19" t="s">
        <v>1778</v>
      </c>
      <c r="F568" s="19">
        <v>508804191</v>
      </c>
      <c r="G568" s="19">
        <v>8</v>
      </c>
      <c r="H568" s="19">
        <v>8</v>
      </c>
      <c r="I568" s="19">
        <v>457</v>
      </c>
      <c r="J568" s="25">
        <v>0.99124699999999999</v>
      </c>
      <c r="K568" s="26">
        <v>32.000968000000043</v>
      </c>
      <c r="L568" s="26">
        <v>2432</v>
      </c>
      <c r="M568" s="26">
        <v>7</v>
      </c>
      <c r="N568" s="26">
        <v>6</v>
      </c>
      <c r="O568" s="27">
        <v>13</v>
      </c>
      <c r="P568" s="19">
        <v>12</v>
      </c>
      <c r="Q568" s="19">
        <v>1</v>
      </c>
      <c r="R568" s="19" t="s">
        <v>431</v>
      </c>
      <c r="S568" s="26">
        <v>0</v>
      </c>
      <c r="T568" s="28" t="s">
        <v>1933</v>
      </c>
      <c r="U568" s="19" t="s">
        <v>714</v>
      </c>
      <c r="V568" s="19" t="s">
        <v>431</v>
      </c>
      <c r="X568" t="b">
        <f>VLOOKUP(B568,'M10B Order'!B:F,5,FALSE)=W568</f>
        <v>1</v>
      </c>
    </row>
    <row r="569" spans="1:24" x14ac:dyDescent="0.2">
      <c r="A569" s="19">
        <v>579058047</v>
      </c>
      <c r="B569" s="19" t="s">
        <v>1397</v>
      </c>
      <c r="C569" s="19" t="s">
        <v>1398</v>
      </c>
      <c r="D569" s="19" t="s">
        <v>370</v>
      </c>
      <c r="E569" s="19" t="s">
        <v>1778</v>
      </c>
      <c r="F569" s="19">
        <v>508804191</v>
      </c>
      <c r="G569" s="19">
        <v>8</v>
      </c>
      <c r="H569" s="19">
        <v>8</v>
      </c>
      <c r="I569" s="19">
        <v>1031</v>
      </c>
      <c r="J569" s="25">
        <v>0.95829299999999995</v>
      </c>
      <c r="K569" s="26">
        <v>343.99933600000043</v>
      </c>
      <c r="L569" s="26">
        <v>1248</v>
      </c>
      <c r="M569" s="26">
        <v>7</v>
      </c>
      <c r="N569" s="26">
        <v>6</v>
      </c>
      <c r="O569" s="27">
        <v>13</v>
      </c>
      <c r="P569" s="19">
        <v>12</v>
      </c>
      <c r="Q569" s="19">
        <v>1</v>
      </c>
      <c r="R569" s="19" t="s">
        <v>431</v>
      </c>
      <c r="S569" s="26">
        <v>0</v>
      </c>
      <c r="T569" s="28">
        <v>16</v>
      </c>
      <c r="U569" s="19" t="s">
        <v>1160</v>
      </c>
      <c r="V569" s="19">
        <v>700.69999999999959</v>
      </c>
      <c r="X569" t="b">
        <f>VLOOKUP(B569,'M10B Order'!B:F,5,FALSE)=W569</f>
        <v>1</v>
      </c>
    </row>
    <row r="570" spans="1:24" x14ac:dyDescent="0.2">
      <c r="A570" s="19">
        <v>579058020</v>
      </c>
      <c r="B570" s="19" t="s">
        <v>1409</v>
      </c>
      <c r="C570" s="19" t="s">
        <v>1410</v>
      </c>
      <c r="D570" s="19" t="s">
        <v>370</v>
      </c>
      <c r="E570" s="19" t="s">
        <v>1778</v>
      </c>
      <c r="F570" s="19">
        <v>508804191</v>
      </c>
      <c r="G570" s="19">
        <v>8</v>
      </c>
      <c r="H570" s="19">
        <v>8</v>
      </c>
      <c r="I570" s="19">
        <v>1378</v>
      </c>
      <c r="J570" s="25">
        <v>0.980406</v>
      </c>
      <c r="K570" s="26">
        <v>216.004256</v>
      </c>
      <c r="L570" s="26">
        <v>7016</v>
      </c>
      <c r="M570" s="26">
        <v>7</v>
      </c>
      <c r="N570" s="26">
        <v>6</v>
      </c>
      <c r="O570" s="27">
        <v>13</v>
      </c>
      <c r="P570" s="19">
        <v>12</v>
      </c>
      <c r="Q570" s="19">
        <v>1</v>
      </c>
      <c r="R570" s="19" t="s">
        <v>431</v>
      </c>
      <c r="S570" s="26">
        <v>0</v>
      </c>
      <c r="T570" s="28" t="s">
        <v>1933</v>
      </c>
      <c r="U570" s="19" t="s">
        <v>1174</v>
      </c>
      <c r="V570" s="19">
        <v>0</v>
      </c>
      <c r="X570" t="b">
        <f>VLOOKUP(B570,'M10B Order'!B:F,5,FALSE)=W570</f>
        <v>1</v>
      </c>
    </row>
    <row r="571" spans="1:24" x14ac:dyDescent="0.2">
      <c r="A571" s="19">
        <v>579058068</v>
      </c>
      <c r="B571" s="19" t="s">
        <v>1411</v>
      </c>
      <c r="C571" s="19" t="s">
        <v>1412</v>
      </c>
      <c r="D571" s="19" t="s">
        <v>370</v>
      </c>
      <c r="E571" s="19" t="s">
        <v>1778</v>
      </c>
      <c r="F571" s="19">
        <v>508804191</v>
      </c>
      <c r="G571" s="19">
        <v>8</v>
      </c>
      <c r="H571" s="19">
        <v>8</v>
      </c>
      <c r="I571" s="19">
        <v>199</v>
      </c>
      <c r="J571" s="25">
        <v>0.98492500000000005</v>
      </c>
      <c r="K571" s="26">
        <v>23.99939999999992</v>
      </c>
      <c r="L571" s="26">
        <v>1904</v>
      </c>
      <c r="M571" s="26">
        <v>7</v>
      </c>
      <c r="N571" s="26">
        <v>6</v>
      </c>
      <c r="O571" s="27">
        <v>13</v>
      </c>
      <c r="P571" s="19">
        <v>12</v>
      </c>
      <c r="Q571" s="19">
        <v>1</v>
      </c>
      <c r="R571" s="19" t="s">
        <v>431</v>
      </c>
      <c r="S571" s="26">
        <v>0</v>
      </c>
      <c r="T571" s="28" t="s">
        <v>1933</v>
      </c>
      <c r="U571" s="19" t="s">
        <v>1176</v>
      </c>
      <c r="V571" s="19">
        <v>0</v>
      </c>
      <c r="X571" t="b">
        <f>VLOOKUP(B571,'M10B Order'!B:F,5,FALSE)=W571</f>
        <v>1</v>
      </c>
    </row>
    <row r="572" spans="1:24" x14ac:dyDescent="0.2">
      <c r="A572" s="19">
        <v>579058121</v>
      </c>
      <c r="B572" s="19" t="s">
        <v>1421</v>
      </c>
      <c r="C572" s="19" t="s">
        <v>1422</v>
      </c>
      <c r="D572" s="19" t="s">
        <v>370</v>
      </c>
      <c r="E572" s="19" t="s">
        <v>1778</v>
      </c>
      <c r="F572" s="19">
        <v>508804191</v>
      </c>
      <c r="G572" s="19">
        <v>8</v>
      </c>
      <c r="H572" s="19">
        <v>8</v>
      </c>
      <c r="I572" s="19">
        <v>1233</v>
      </c>
      <c r="J572" s="25">
        <v>0.98053500000000005</v>
      </c>
      <c r="K572" s="26">
        <v>192.00275999999954</v>
      </c>
      <c r="L572" s="26">
        <v>2104</v>
      </c>
      <c r="M572" s="26">
        <v>7</v>
      </c>
      <c r="N572" s="26">
        <v>6</v>
      </c>
      <c r="O572" s="27">
        <v>13</v>
      </c>
      <c r="P572" s="19">
        <v>12</v>
      </c>
      <c r="Q572" s="19">
        <v>1</v>
      </c>
      <c r="R572" s="19" t="s">
        <v>431</v>
      </c>
      <c r="S572" s="26">
        <v>0</v>
      </c>
      <c r="T572" s="28">
        <v>15</v>
      </c>
      <c r="U572" s="19" t="s">
        <v>1184</v>
      </c>
      <c r="V572" s="19">
        <v>1440.7193599999996</v>
      </c>
      <c r="X572" t="b">
        <f>VLOOKUP(B572,'M10B Order'!B:F,5,FALSE)=W572</f>
        <v>1</v>
      </c>
    </row>
    <row r="573" spans="1:24" x14ac:dyDescent="0.2">
      <c r="A573" s="19">
        <v>579058015</v>
      </c>
      <c r="B573" s="19" t="s">
        <v>1423</v>
      </c>
      <c r="C573" s="19" t="s">
        <v>1424</v>
      </c>
      <c r="D573" s="19" t="s">
        <v>370</v>
      </c>
      <c r="E573" s="19" t="s">
        <v>1778</v>
      </c>
      <c r="F573" s="19">
        <v>508804191</v>
      </c>
      <c r="G573" s="19">
        <v>8</v>
      </c>
      <c r="H573" s="19">
        <v>8</v>
      </c>
      <c r="I573" s="19">
        <v>200</v>
      </c>
      <c r="J573" s="25">
        <v>0.84</v>
      </c>
      <c r="K573" s="26">
        <v>256.00000000000006</v>
      </c>
      <c r="L573" s="26">
        <v>0</v>
      </c>
      <c r="M573" s="26">
        <v>7</v>
      </c>
      <c r="N573" s="26">
        <v>6</v>
      </c>
      <c r="O573" s="27">
        <v>13</v>
      </c>
      <c r="P573" s="19">
        <v>12</v>
      </c>
      <c r="Q573" s="19">
        <v>1</v>
      </c>
      <c r="R573" s="19" t="s">
        <v>431</v>
      </c>
      <c r="S573" s="26">
        <v>0</v>
      </c>
      <c r="T573" s="28" t="s">
        <v>1933</v>
      </c>
      <c r="U573" s="19" t="s">
        <v>1178</v>
      </c>
      <c r="V573" s="19">
        <v>0</v>
      </c>
      <c r="X573" t="b">
        <f>VLOOKUP(B573,'M10B Order'!B:F,5,FALSE)=W573</f>
        <v>1</v>
      </c>
    </row>
    <row r="574" spans="1:24" x14ac:dyDescent="0.2">
      <c r="A574" s="19">
        <v>579058028</v>
      </c>
      <c r="B574" s="19" t="s">
        <v>1429</v>
      </c>
      <c r="C574" s="19" t="s">
        <v>1430</v>
      </c>
      <c r="D574" s="19" t="s">
        <v>370</v>
      </c>
      <c r="E574" s="19" t="s">
        <v>1778</v>
      </c>
      <c r="F574" s="19">
        <v>508804191</v>
      </c>
      <c r="G574" s="19">
        <v>8</v>
      </c>
      <c r="H574" s="19">
        <v>8</v>
      </c>
      <c r="I574" s="19">
        <v>456</v>
      </c>
      <c r="J574" s="25">
        <v>0.97368399999999999</v>
      </c>
      <c r="K574" s="26">
        <v>96.000768000000022</v>
      </c>
      <c r="L574" s="26">
        <v>0</v>
      </c>
      <c r="M574" s="26">
        <v>7</v>
      </c>
      <c r="N574" s="26">
        <v>6</v>
      </c>
      <c r="O574" s="27">
        <v>13</v>
      </c>
      <c r="P574" s="19">
        <v>12</v>
      </c>
      <c r="Q574" s="19">
        <v>1</v>
      </c>
      <c r="R574" s="19" t="s">
        <v>431</v>
      </c>
      <c r="S574" s="26">
        <v>0</v>
      </c>
      <c r="T574" s="28">
        <v>36</v>
      </c>
      <c r="U574" s="19" t="s">
        <v>1188</v>
      </c>
      <c r="V574" s="19">
        <v>3459.3009000000002</v>
      </c>
      <c r="X574" t="b">
        <f>VLOOKUP(B574,'M10B Order'!B:F,5,FALSE)=W574</f>
        <v>1</v>
      </c>
    </row>
    <row r="575" spans="1:24" x14ac:dyDescent="0.2">
      <c r="A575" s="19">
        <v>579058026</v>
      </c>
      <c r="B575" s="19" t="s">
        <v>1443</v>
      </c>
      <c r="C575" s="19" t="s">
        <v>1444</v>
      </c>
      <c r="D575" s="19" t="s">
        <v>370</v>
      </c>
      <c r="E575" s="19" t="s">
        <v>1778</v>
      </c>
      <c r="F575" s="19">
        <v>508804191</v>
      </c>
      <c r="G575" s="19">
        <v>8</v>
      </c>
      <c r="H575" s="19">
        <v>8</v>
      </c>
      <c r="I575" s="19">
        <v>1377</v>
      </c>
      <c r="J575" s="25">
        <v>0.97894000000000003</v>
      </c>
      <c r="K575" s="26">
        <v>231.99695999999963</v>
      </c>
      <c r="L575" s="26">
        <v>0</v>
      </c>
      <c r="M575" s="26">
        <v>7</v>
      </c>
      <c r="N575" s="26">
        <v>6</v>
      </c>
      <c r="O575" s="27">
        <v>13</v>
      </c>
      <c r="P575" s="19">
        <v>12</v>
      </c>
      <c r="Q575" s="19">
        <v>1</v>
      </c>
      <c r="R575" s="19" t="s">
        <v>431</v>
      </c>
      <c r="S575" s="26">
        <v>0</v>
      </c>
      <c r="T575" s="28">
        <v>14</v>
      </c>
      <c r="U575" s="19" t="s">
        <v>1194</v>
      </c>
      <c r="V575" s="19">
        <v>812.15312000000085</v>
      </c>
      <c r="X575" t="b">
        <f>VLOOKUP(B575,'M10B Order'!B:F,5,FALSE)=W575</f>
        <v>1</v>
      </c>
    </row>
    <row r="576" spans="1:24" x14ac:dyDescent="0.2">
      <c r="A576" s="19">
        <v>579058054</v>
      </c>
      <c r="B576" s="19" t="s">
        <v>1441</v>
      </c>
      <c r="C576" s="19" t="s">
        <v>1442</v>
      </c>
      <c r="D576" s="19" t="s">
        <v>370</v>
      </c>
      <c r="E576" s="19" t="s">
        <v>1778</v>
      </c>
      <c r="F576" s="19">
        <v>508804191</v>
      </c>
      <c r="G576" s="19">
        <v>8</v>
      </c>
      <c r="H576" s="19">
        <v>8</v>
      </c>
      <c r="I576" s="19">
        <v>1377</v>
      </c>
      <c r="J576" s="25">
        <v>0.95787900000000004</v>
      </c>
      <c r="K576" s="26">
        <v>464.00493599999959</v>
      </c>
      <c r="L576" s="26">
        <v>1096</v>
      </c>
      <c r="M576" s="26">
        <v>7</v>
      </c>
      <c r="N576" s="26">
        <v>6</v>
      </c>
      <c r="O576" s="27">
        <v>13</v>
      </c>
      <c r="P576" s="19">
        <v>12</v>
      </c>
      <c r="Q576" s="19">
        <v>1</v>
      </c>
      <c r="R576" s="19" t="s">
        <v>431</v>
      </c>
      <c r="S576" s="26">
        <v>0</v>
      </c>
      <c r="T576" s="28">
        <v>16</v>
      </c>
      <c r="U576" s="19" t="s">
        <v>1192</v>
      </c>
      <c r="V576" s="19">
        <v>0</v>
      </c>
      <c r="X576" t="b">
        <f>VLOOKUP(B576,'M10B Order'!B:F,5,FALSE)=W576</f>
        <v>1</v>
      </c>
    </row>
    <row r="577" spans="1:24" x14ac:dyDescent="0.2">
      <c r="A577" s="19">
        <v>579058156</v>
      </c>
      <c r="B577" s="19" t="s">
        <v>1435</v>
      </c>
      <c r="C577" s="19" t="s">
        <v>1436</v>
      </c>
      <c r="D577" s="19" t="s">
        <v>370</v>
      </c>
      <c r="E577" s="19" t="s">
        <v>1778</v>
      </c>
      <c r="F577" s="19">
        <v>508804191</v>
      </c>
      <c r="G577" s="19">
        <v>8</v>
      </c>
      <c r="H577" s="19">
        <v>8</v>
      </c>
      <c r="I577" s="19">
        <v>198</v>
      </c>
      <c r="J577" s="25">
        <v>0.98484799999999995</v>
      </c>
      <c r="K577" s="26">
        <v>24.000768000000086</v>
      </c>
      <c r="L577" s="26">
        <v>1840</v>
      </c>
      <c r="M577" s="26">
        <v>7</v>
      </c>
      <c r="N577" s="26">
        <v>6</v>
      </c>
      <c r="O577" s="27">
        <v>13</v>
      </c>
      <c r="P577" s="19">
        <v>12</v>
      </c>
      <c r="Q577" s="19">
        <v>1</v>
      </c>
      <c r="R577" s="19" t="s">
        <v>431</v>
      </c>
      <c r="S577" s="26">
        <v>0</v>
      </c>
      <c r="T577" s="28" t="s">
        <v>1933</v>
      </c>
      <c r="U577" s="19" t="s">
        <v>1198</v>
      </c>
      <c r="V577" s="19">
        <v>0</v>
      </c>
      <c r="X577" t="b">
        <f>VLOOKUP(B577,'M10B Order'!B:F,5,FALSE)=W577</f>
        <v>1</v>
      </c>
    </row>
    <row r="578" spans="1:24" x14ac:dyDescent="0.2">
      <c r="A578" s="19">
        <v>579058025</v>
      </c>
      <c r="B578" s="19" t="s">
        <v>1447</v>
      </c>
      <c r="C578" s="19" t="s">
        <v>1448</v>
      </c>
      <c r="D578" s="19" t="s">
        <v>370</v>
      </c>
      <c r="E578" s="19" t="s">
        <v>1778</v>
      </c>
      <c r="F578" s="19">
        <v>508804191</v>
      </c>
      <c r="G578" s="19">
        <v>8</v>
      </c>
      <c r="H578" s="19">
        <v>8</v>
      </c>
      <c r="I578" s="19">
        <v>458</v>
      </c>
      <c r="J578" s="25">
        <v>0.99345000000000006</v>
      </c>
      <c r="K578" s="26">
        <v>23.999199999999796</v>
      </c>
      <c r="L578" s="26">
        <v>1272</v>
      </c>
      <c r="M578" s="26">
        <v>7</v>
      </c>
      <c r="N578" s="26">
        <v>6</v>
      </c>
      <c r="O578" s="27">
        <v>13</v>
      </c>
      <c r="P578" s="19">
        <v>12</v>
      </c>
      <c r="Q578" s="19">
        <v>1</v>
      </c>
      <c r="R578" s="19" t="s">
        <v>431</v>
      </c>
      <c r="S578" s="26">
        <v>0</v>
      </c>
      <c r="T578" s="28">
        <v>32</v>
      </c>
      <c r="U578" s="19" t="s">
        <v>1200</v>
      </c>
      <c r="V578" s="19">
        <v>0</v>
      </c>
      <c r="X578" t="b">
        <f>VLOOKUP(B578,'M10B Order'!B:F,5,FALSE)=W578</f>
        <v>1</v>
      </c>
    </row>
    <row r="579" spans="1:24" x14ac:dyDescent="0.2">
      <c r="A579" s="19">
        <v>579058027</v>
      </c>
      <c r="B579" s="19" t="s">
        <v>1449</v>
      </c>
      <c r="C579" s="19" t="s">
        <v>1450</v>
      </c>
      <c r="D579" s="19" t="s">
        <v>370</v>
      </c>
      <c r="E579" s="19" t="s">
        <v>1778</v>
      </c>
      <c r="F579" s="19">
        <v>508804191</v>
      </c>
      <c r="G579" s="19">
        <v>8</v>
      </c>
      <c r="H579" s="19">
        <v>8</v>
      </c>
      <c r="I579" s="19">
        <v>456</v>
      </c>
      <c r="J579" s="25">
        <v>0.991228</v>
      </c>
      <c r="K579" s="26">
        <v>32.000256000000007</v>
      </c>
      <c r="L579" s="26">
        <v>1304</v>
      </c>
      <c r="M579" s="26">
        <v>7</v>
      </c>
      <c r="N579" s="26">
        <v>6</v>
      </c>
      <c r="O579" s="27">
        <v>13</v>
      </c>
      <c r="P579" s="19">
        <v>12</v>
      </c>
      <c r="Q579" s="19">
        <v>1</v>
      </c>
      <c r="R579" s="19" t="s">
        <v>431</v>
      </c>
      <c r="S579" s="26">
        <v>0</v>
      </c>
      <c r="T579" s="28">
        <v>26</v>
      </c>
      <c r="U579" s="19" t="s">
        <v>1202</v>
      </c>
      <c r="V579" s="19">
        <v>0</v>
      </c>
      <c r="X579" t="b">
        <f>VLOOKUP(B579,'M10B Order'!B:F,5,FALSE)=W579</f>
        <v>1</v>
      </c>
    </row>
    <row r="580" spans="1:24" x14ac:dyDescent="0.2">
      <c r="A580" s="19">
        <v>579058029</v>
      </c>
      <c r="B580" s="19" t="s">
        <v>1451</v>
      </c>
      <c r="C580" s="19" t="s">
        <v>1452</v>
      </c>
      <c r="D580" s="19" t="s">
        <v>370</v>
      </c>
      <c r="E580" s="19" t="s">
        <v>1778</v>
      </c>
      <c r="F580" s="19">
        <v>508804191</v>
      </c>
      <c r="G580" s="19">
        <v>8</v>
      </c>
      <c r="H580" s="19">
        <v>8</v>
      </c>
      <c r="I580" s="19">
        <v>1030</v>
      </c>
      <c r="J580" s="25">
        <v>0.96990299999999996</v>
      </c>
      <c r="K580" s="26">
        <v>247.99928000000034</v>
      </c>
      <c r="L580" s="26">
        <v>616</v>
      </c>
      <c r="M580" s="26">
        <v>7</v>
      </c>
      <c r="N580" s="26">
        <v>6</v>
      </c>
      <c r="O580" s="27">
        <v>13</v>
      </c>
      <c r="P580" s="19">
        <v>12</v>
      </c>
      <c r="Q580" s="19">
        <v>1</v>
      </c>
      <c r="R580" s="19" t="s">
        <v>431</v>
      </c>
      <c r="S580" s="26">
        <v>0</v>
      </c>
      <c r="T580" s="28">
        <v>27</v>
      </c>
      <c r="U580" s="19" t="s">
        <v>1673</v>
      </c>
      <c r="V580" s="19">
        <v>2387.600195999999</v>
      </c>
      <c r="X580" t="b">
        <f>VLOOKUP(B580,'M10B Order'!B:F,5,FALSE)=W580</f>
        <v>1</v>
      </c>
    </row>
    <row r="581" spans="1:24" x14ac:dyDescent="0.2">
      <c r="A581" s="19">
        <v>579058038</v>
      </c>
      <c r="B581" s="19" t="s">
        <v>1459</v>
      </c>
      <c r="C581" s="19" t="s">
        <v>1460</v>
      </c>
      <c r="D581" s="19" t="s">
        <v>370</v>
      </c>
      <c r="E581" s="19" t="s">
        <v>1778</v>
      </c>
      <c r="F581" s="19">
        <v>508804191</v>
      </c>
      <c r="G581" s="19">
        <v>8</v>
      </c>
      <c r="H581" s="19">
        <v>8</v>
      </c>
      <c r="I581" s="19">
        <v>1031</v>
      </c>
      <c r="J581" s="25">
        <v>0.98157099999999997</v>
      </c>
      <c r="K581" s="26">
        <v>152.00239200000024</v>
      </c>
      <c r="L581" s="26">
        <v>1752</v>
      </c>
      <c r="M581" s="26">
        <v>7</v>
      </c>
      <c r="N581" s="26">
        <v>6</v>
      </c>
      <c r="O581" s="27">
        <v>13</v>
      </c>
      <c r="P581" s="19">
        <v>12</v>
      </c>
      <c r="Q581" s="19">
        <v>1</v>
      </c>
      <c r="R581" s="19" t="s">
        <v>431</v>
      </c>
      <c r="S581" s="26">
        <v>0</v>
      </c>
      <c r="T581" s="28">
        <v>14</v>
      </c>
      <c r="U581" s="19" t="s">
        <v>1675</v>
      </c>
      <c r="V581" s="19">
        <v>0</v>
      </c>
      <c r="X581" t="b">
        <f>VLOOKUP(B581,'M10B Order'!B:F,5,FALSE)=W581</f>
        <v>1</v>
      </c>
    </row>
    <row r="582" spans="1:24" x14ac:dyDescent="0.2">
      <c r="A582" s="19">
        <v>579058044</v>
      </c>
      <c r="B582" s="19" t="s">
        <v>1465</v>
      </c>
      <c r="C582" s="19" t="s">
        <v>1466</v>
      </c>
      <c r="D582" s="19" t="s">
        <v>370</v>
      </c>
      <c r="E582" s="19" t="s">
        <v>1778</v>
      </c>
      <c r="F582" s="19">
        <v>508804191</v>
      </c>
      <c r="G582" s="19">
        <v>8</v>
      </c>
      <c r="H582" s="19">
        <v>8</v>
      </c>
      <c r="I582" s="19">
        <v>458</v>
      </c>
      <c r="J582" s="25">
        <v>0.96943199999999996</v>
      </c>
      <c r="K582" s="26">
        <v>112.00115200000015</v>
      </c>
      <c r="L582" s="26">
        <v>64</v>
      </c>
      <c r="M582" s="26">
        <v>7</v>
      </c>
      <c r="N582" s="26">
        <v>6</v>
      </c>
      <c r="O582" s="27">
        <v>13</v>
      </c>
      <c r="P582" s="19">
        <v>12</v>
      </c>
      <c r="Q582" s="19">
        <v>1</v>
      </c>
      <c r="R582" s="19" t="s">
        <v>431</v>
      </c>
      <c r="S582" s="26">
        <v>0</v>
      </c>
      <c r="T582" s="28">
        <v>16</v>
      </c>
      <c r="U582" s="19" t="s">
        <v>1216</v>
      </c>
      <c r="V582" s="19">
        <v>0</v>
      </c>
      <c r="X582" t="b">
        <f>VLOOKUP(B582,'M10B Order'!B:F,5,FALSE)=W582</f>
        <v>1</v>
      </c>
    </row>
    <row r="583" spans="1:24" x14ac:dyDescent="0.2">
      <c r="A583" s="19">
        <v>579058007</v>
      </c>
      <c r="B583" s="19" t="s">
        <v>1469</v>
      </c>
      <c r="C583" s="19" t="s">
        <v>1470</v>
      </c>
      <c r="D583" s="19" t="s">
        <v>370</v>
      </c>
      <c r="E583" s="19" t="s">
        <v>1778</v>
      </c>
      <c r="F583" s="19">
        <v>508804191</v>
      </c>
      <c r="G583" s="19">
        <v>8</v>
      </c>
      <c r="H583" s="19">
        <v>8</v>
      </c>
      <c r="I583" s="19">
        <v>197</v>
      </c>
      <c r="J583" s="25">
        <v>0.93401000000000001</v>
      </c>
      <c r="K583" s="26">
        <v>104.00023999999999</v>
      </c>
      <c r="L583" s="26">
        <v>1992</v>
      </c>
      <c r="M583" s="26">
        <v>7</v>
      </c>
      <c r="N583" s="26">
        <v>6</v>
      </c>
      <c r="O583" s="27">
        <v>13</v>
      </c>
      <c r="P583" s="19">
        <v>12</v>
      </c>
      <c r="Q583" s="19">
        <v>1</v>
      </c>
      <c r="R583" s="19" t="s">
        <v>431</v>
      </c>
      <c r="S583" s="26">
        <v>0</v>
      </c>
      <c r="T583" s="28" t="s">
        <v>1933</v>
      </c>
      <c r="U583" s="19" t="s">
        <v>1214</v>
      </c>
      <c r="V583" s="19">
        <v>0</v>
      </c>
      <c r="X583" t="b">
        <f>VLOOKUP(B583,'M10B Order'!B:F,5,FALSE)=W583</f>
        <v>1</v>
      </c>
    </row>
    <row r="584" spans="1:24" x14ac:dyDescent="0.2">
      <c r="A584" s="19">
        <v>579058002</v>
      </c>
      <c r="B584" s="19" t="s">
        <v>1467</v>
      </c>
      <c r="C584" s="19" t="s">
        <v>1468</v>
      </c>
      <c r="D584" s="19" t="s">
        <v>370</v>
      </c>
      <c r="E584" s="19" t="s">
        <v>1778</v>
      </c>
      <c r="F584" s="19">
        <v>508804191</v>
      </c>
      <c r="G584" s="19">
        <v>8</v>
      </c>
      <c r="H584" s="19">
        <v>8</v>
      </c>
      <c r="I584" s="19">
        <v>199</v>
      </c>
      <c r="J584" s="25">
        <v>0.94472400000000001</v>
      </c>
      <c r="K584" s="26">
        <v>87.999391999999986</v>
      </c>
      <c r="L584" s="26">
        <v>2104</v>
      </c>
      <c r="M584" s="26">
        <v>7</v>
      </c>
      <c r="N584" s="26">
        <v>6</v>
      </c>
      <c r="O584" s="27">
        <v>13</v>
      </c>
      <c r="P584" s="19">
        <v>12</v>
      </c>
      <c r="Q584" s="19">
        <v>1</v>
      </c>
      <c r="R584" s="19" t="s">
        <v>431</v>
      </c>
      <c r="S584" s="26">
        <v>0</v>
      </c>
      <c r="T584" s="28" t="s">
        <v>1933</v>
      </c>
      <c r="U584" s="19" t="s">
        <v>1212</v>
      </c>
      <c r="V584" s="19">
        <v>0</v>
      </c>
      <c r="X584" t="b">
        <f>VLOOKUP(B584,'M10B Order'!B:F,5,FALSE)=W584</f>
        <v>1</v>
      </c>
    </row>
    <row r="585" spans="1:24" x14ac:dyDescent="0.2">
      <c r="A585" s="19">
        <v>554919496</v>
      </c>
      <c r="B585" s="19" t="s">
        <v>174</v>
      </c>
      <c r="C585" s="19" t="s">
        <v>173</v>
      </c>
      <c r="D585" s="19" t="s">
        <v>370</v>
      </c>
      <c r="E585" s="19" t="s">
        <v>1778</v>
      </c>
      <c r="F585" s="19">
        <v>508804191</v>
      </c>
      <c r="G585" s="19">
        <v>8</v>
      </c>
      <c r="H585" s="19">
        <v>8</v>
      </c>
      <c r="I585" s="19">
        <v>3421</v>
      </c>
      <c r="J585" s="25">
        <v>0.91318299999999997</v>
      </c>
      <c r="K585" s="26">
        <v>2376.0076560000007</v>
      </c>
      <c r="L585" s="26">
        <v>0</v>
      </c>
      <c r="M585" s="26">
        <v>7</v>
      </c>
      <c r="N585" s="26">
        <v>6</v>
      </c>
      <c r="O585" s="27">
        <v>13</v>
      </c>
      <c r="P585" s="19">
        <v>12</v>
      </c>
      <c r="Q585" s="19">
        <v>1</v>
      </c>
      <c r="R585" s="19" t="s">
        <v>431</v>
      </c>
      <c r="S585" s="26">
        <v>0</v>
      </c>
      <c r="T585" s="28">
        <v>19</v>
      </c>
      <c r="U585" s="19" t="s">
        <v>431</v>
      </c>
      <c r="V585" s="19" t="s">
        <v>431</v>
      </c>
      <c r="X585" t="b">
        <f>VLOOKUP(B585,'M10B Order'!B:F,5,FALSE)=W585</f>
        <v>1</v>
      </c>
    </row>
    <row r="586" spans="1:24" x14ac:dyDescent="0.2">
      <c r="A586" s="19">
        <v>554919602</v>
      </c>
      <c r="B586" s="19" t="s">
        <v>111</v>
      </c>
      <c r="C586" s="19" t="s">
        <v>110</v>
      </c>
      <c r="D586" s="19" t="s">
        <v>370</v>
      </c>
      <c r="E586" s="19" t="s">
        <v>1778</v>
      </c>
      <c r="F586" s="19">
        <v>508804191</v>
      </c>
      <c r="G586" s="19">
        <v>8</v>
      </c>
      <c r="H586" s="19">
        <v>8</v>
      </c>
      <c r="I586" s="19">
        <v>1785</v>
      </c>
      <c r="J586" s="25">
        <v>0.85714299999999999</v>
      </c>
      <c r="K586" s="26">
        <v>2039.9979600000001</v>
      </c>
      <c r="L586" s="26">
        <v>0</v>
      </c>
      <c r="M586" s="26">
        <v>7</v>
      </c>
      <c r="N586" s="26">
        <v>6</v>
      </c>
      <c r="O586" s="27">
        <v>13</v>
      </c>
      <c r="P586" s="19">
        <v>12</v>
      </c>
      <c r="Q586" s="19">
        <v>1</v>
      </c>
      <c r="R586" s="19" t="s">
        <v>431</v>
      </c>
      <c r="S586" s="26">
        <v>0</v>
      </c>
      <c r="T586" s="28">
        <v>16</v>
      </c>
      <c r="U586" s="19" t="s">
        <v>573</v>
      </c>
      <c r="V586" s="19" t="s">
        <v>431</v>
      </c>
      <c r="X586" t="b">
        <f>VLOOKUP(B586,'M10B Order'!B:F,5,FALSE)=W586</f>
        <v>1</v>
      </c>
    </row>
    <row r="587" spans="1:24" x14ac:dyDescent="0.2">
      <c r="A587" s="19">
        <v>555032624</v>
      </c>
      <c r="B587" s="19" t="s">
        <v>389</v>
      </c>
      <c r="C587" s="19" t="s">
        <v>390</v>
      </c>
      <c r="D587" s="19" t="s">
        <v>370</v>
      </c>
      <c r="E587" s="19" t="s">
        <v>1778</v>
      </c>
      <c r="F587" s="19">
        <v>508804191</v>
      </c>
      <c r="G587" s="19">
        <v>8</v>
      </c>
      <c r="H587" s="19">
        <v>8</v>
      </c>
      <c r="I587" s="19">
        <v>2818</v>
      </c>
      <c r="J587" s="25">
        <v>0.96912699999999996</v>
      </c>
      <c r="K587" s="26">
        <v>696.00091200000088</v>
      </c>
      <c r="L587" s="26">
        <v>88</v>
      </c>
      <c r="M587" s="26">
        <v>7</v>
      </c>
      <c r="N587" s="26">
        <v>6</v>
      </c>
      <c r="O587" s="27">
        <v>13</v>
      </c>
      <c r="P587" s="19">
        <v>12</v>
      </c>
      <c r="Q587" s="19">
        <v>1</v>
      </c>
      <c r="R587" s="19" t="s">
        <v>431</v>
      </c>
      <c r="S587" s="26">
        <v>0</v>
      </c>
      <c r="T587" s="28">
        <v>16</v>
      </c>
      <c r="U587" s="19" t="s">
        <v>535</v>
      </c>
      <c r="V587" s="19">
        <v>675.13090799999964</v>
      </c>
      <c r="X587" t="b">
        <f>VLOOKUP(B587,'M10B Order'!B:F,5,FALSE)=W587</f>
        <v>1</v>
      </c>
    </row>
    <row r="588" spans="1:24" x14ac:dyDescent="0.2">
      <c r="A588" s="19">
        <v>573626695</v>
      </c>
      <c r="B588" s="19" t="s">
        <v>952</v>
      </c>
      <c r="C588" s="19" t="s">
        <v>953</v>
      </c>
      <c r="D588" s="19" t="s">
        <v>370</v>
      </c>
      <c r="E588" s="19" t="s">
        <v>1778</v>
      </c>
      <c r="F588" s="19">
        <v>508804191</v>
      </c>
      <c r="G588" s="19">
        <v>8</v>
      </c>
      <c r="H588" s="19">
        <v>8</v>
      </c>
      <c r="I588" s="19">
        <v>1379</v>
      </c>
      <c r="J588" s="25">
        <v>0.96301700000000001</v>
      </c>
      <c r="K588" s="26">
        <v>407.99645599999985</v>
      </c>
      <c r="L588" s="26">
        <v>2200</v>
      </c>
      <c r="M588" s="26">
        <v>7</v>
      </c>
      <c r="N588" s="26">
        <v>6</v>
      </c>
      <c r="O588" s="27">
        <v>13</v>
      </c>
      <c r="P588" s="19">
        <v>12</v>
      </c>
      <c r="Q588" s="19">
        <v>1</v>
      </c>
      <c r="R588" s="19" t="s">
        <v>431</v>
      </c>
      <c r="S588" s="26">
        <v>0</v>
      </c>
      <c r="T588" s="28">
        <v>14</v>
      </c>
      <c r="U588" s="19" t="s">
        <v>1013</v>
      </c>
      <c r="V588" s="19">
        <v>173.459436000003</v>
      </c>
      <c r="X588" t="b">
        <f>VLOOKUP(B588,'M10B Order'!B:F,5,FALSE)=W588</f>
        <v>1</v>
      </c>
    </row>
    <row r="589" spans="1:24" x14ac:dyDescent="0.2">
      <c r="A589" s="19">
        <v>573626616</v>
      </c>
      <c r="B589" s="19" t="s">
        <v>926</v>
      </c>
      <c r="C589" s="19" t="s">
        <v>927</v>
      </c>
      <c r="D589" s="19" t="s">
        <v>370</v>
      </c>
      <c r="E589" s="19" t="s">
        <v>1778</v>
      </c>
      <c r="F589" s="19">
        <v>508804191</v>
      </c>
      <c r="G589" s="19">
        <v>8</v>
      </c>
      <c r="H589" s="19">
        <v>8</v>
      </c>
      <c r="I589" s="19">
        <v>1379</v>
      </c>
      <c r="J589" s="25">
        <v>0.966642</v>
      </c>
      <c r="K589" s="26">
        <v>368.00545599999998</v>
      </c>
      <c r="L589" s="26">
        <v>0</v>
      </c>
      <c r="M589" s="26">
        <v>7</v>
      </c>
      <c r="N589" s="26">
        <v>6</v>
      </c>
      <c r="O589" s="27">
        <v>13</v>
      </c>
      <c r="P589" s="19">
        <v>12</v>
      </c>
      <c r="Q589" s="19">
        <v>1</v>
      </c>
      <c r="R589" s="19" t="s">
        <v>431</v>
      </c>
      <c r="S589" s="26">
        <v>0</v>
      </c>
      <c r="T589" s="28">
        <v>16</v>
      </c>
      <c r="U589" s="19" t="s">
        <v>749</v>
      </c>
      <c r="V589" s="19">
        <v>425.0479900000006</v>
      </c>
      <c r="X589" t="b">
        <f>VLOOKUP(B589,'M10B Order'!B:F,5,FALSE)=W589</f>
        <v>1</v>
      </c>
    </row>
    <row r="590" spans="1:24" x14ac:dyDescent="0.2">
      <c r="A590" s="19">
        <v>573626500</v>
      </c>
      <c r="B590" s="19" t="s">
        <v>878</v>
      </c>
      <c r="C590" s="19" t="s">
        <v>879</v>
      </c>
      <c r="D590" s="19" t="s">
        <v>370</v>
      </c>
      <c r="E590" s="19" t="s">
        <v>1778</v>
      </c>
      <c r="F590" s="19">
        <v>508804191</v>
      </c>
      <c r="G590" s="19">
        <v>8</v>
      </c>
      <c r="H590" s="19">
        <v>8</v>
      </c>
      <c r="I590" s="19">
        <v>1378</v>
      </c>
      <c r="J590" s="25">
        <v>0.94267100000000004</v>
      </c>
      <c r="K590" s="26">
        <v>631.99489599999959</v>
      </c>
      <c r="L590" s="26">
        <v>0</v>
      </c>
      <c r="M590" s="26">
        <v>7</v>
      </c>
      <c r="N590" s="26">
        <v>6</v>
      </c>
      <c r="O590" s="27">
        <v>13</v>
      </c>
      <c r="P590" s="19">
        <v>12</v>
      </c>
      <c r="Q590" s="19">
        <v>1</v>
      </c>
      <c r="R590" s="19" t="s">
        <v>431</v>
      </c>
      <c r="S590" s="26">
        <v>0</v>
      </c>
      <c r="T590" s="28">
        <v>15</v>
      </c>
      <c r="U590" s="19" t="s">
        <v>700</v>
      </c>
      <c r="V590" s="19">
        <v>4005.169280000001</v>
      </c>
      <c r="X590" t="b">
        <f>VLOOKUP(B590,'M10B Order'!B:F,5,FALSE)=W590</f>
        <v>1</v>
      </c>
    </row>
    <row r="591" spans="1:24" x14ac:dyDescent="0.2">
      <c r="A591" s="19">
        <v>568940362</v>
      </c>
      <c r="B591" s="19" t="s">
        <v>1058</v>
      </c>
      <c r="C591" s="19" t="s">
        <v>1059</v>
      </c>
      <c r="D591" s="19" t="s">
        <v>370</v>
      </c>
      <c r="E591" s="19" t="s">
        <v>1778</v>
      </c>
      <c r="F591" s="19">
        <v>508804198</v>
      </c>
      <c r="G591" s="19">
        <v>8</v>
      </c>
      <c r="H591" s="19">
        <v>8</v>
      </c>
      <c r="I591" s="19">
        <v>2177</v>
      </c>
      <c r="J591" s="25">
        <v>0.93706900000000004</v>
      </c>
      <c r="K591" s="26">
        <v>1096.0062959999993</v>
      </c>
      <c r="L591" s="26">
        <v>288</v>
      </c>
      <c r="M591" s="26">
        <v>7</v>
      </c>
      <c r="N591" s="26">
        <v>8</v>
      </c>
      <c r="O591" s="27">
        <v>15</v>
      </c>
      <c r="P591" s="19">
        <v>12</v>
      </c>
      <c r="Q591" s="19">
        <v>1</v>
      </c>
      <c r="R591" s="19" t="s">
        <v>431</v>
      </c>
      <c r="S591" s="26">
        <v>0</v>
      </c>
      <c r="T591" s="28">
        <v>17</v>
      </c>
      <c r="U591" s="19">
        <v>0</v>
      </c>
      <c r="V591" s="19" t="s">
        <v>431</v>
      </c>
      <c r="X591" t="b">
        <f>VLOOKUP(B591,'M10B Order'!B:F,5,FALSE)=W591</f>
        <v>1</v>
      </c>
    </row>
    <row r="592" spans="1:24" x14ac:dyDescent="0.2">
      <c r="A592" s="19">
        <v>573608980</v>
      </c>
      <c r="B592" s="19" t="s">
        <v>1048</v>
      </c>
      <c r="C592" s="19" t="s">
        <v>1049</v>
      </c>
      <c r="D592" s="19" t="s">
        <v>370</v>
      </c>
      <c r="E592" s="19" t="s">
        <v>1778</v>
      </c>
      <c r="F592" s="19">
        <v>508804198</v>
      </c>
      <c r="G592" s="19">
        <v>8</v>
      </c>
      <c r="H592" s="19">
        <v>8</v>
      </c>
      <c r="I592" s="19">
        <v>1233</v>
      </c>
      <c r="J592" s="25">
        <v>0.97648000000000001</v>
      </c>
      <c r="K592" s="26">
        <v>232.00127999999987</v>
      </c>
      <c r="L592" s="26">
        <v>6184</v>
      </c>
      <c r="M592" s="26">
        <v>7</v>
      </c>
      <c r="N592" s="26">
        <v>8</v>
      </c>
      <c r="O592" s="27">
        <v>15</v>
      </c>
      <c r="P592" s="19">
        <v>12</v>
      </c>
      <c r="Q592" s="19">
        <v>1</v>
      </c>
      <c r="R592" s="19" t="s">
        <v>431</v>
      </c>
      <c r="S592" s="26">
        <v>0</v>
      </c>
      <c r="T592" s="28">
        <v>20</v>
      </c>
      <c r="U592" s="19">
        <v>0</v>
      </c>
      <c r="V592" s="19" t="s">
        <v>431</v>
      </c>
      <c r="X592" t="b">
        <f>VLOOKUP(B592,'M10B Order'!B:F,5,FALSE)=W592</f>
        <v>1</v>
      </c>
    </row>
    <row r="593" spans="1:24" x14ac:dyDescent="0.2">
      <c r="A593" s="19">
        <v>553671138</v>
      </c>
      <c r="B593" s="19" t="s">
        <v>1111</v>
      </c>
      <c r="C593" s="19" t="s">
        <v>1112</v>
      </c>
      <c r="D593" s="19" t="s">
        <v>370</v>
      </c>
      <c r="E593" s="19" t="s">
        <v>1778</v>
      </c>
      <c r="F593" s="19">
        <v>508804198</v>
      </c>
      <c r="G593" s="19">
        <v>8</v>
      </c>
      <c r="H593" s="19">
        <v>8</v>
      </c>
      <c r="I593" s="19">
        <v>1232</v>
      </c>
      <c r="J593" s="25">
        <v>0.96996800000000005</v>
      </c>
      <c r="K593" s="26">
        <v>295.99539199999947</v>
      </c>
      <c r="L593" s="26">
        <v>0</v>
      </c>
      <c r="M593" s="26">
        <v>7</v>
      </c>
      <c r="N593" s="26">
        <v>8</v>
      </c>
      <c r="O593" s="27">
        <v>15</v>
      </c>
      <c r="P593" s="19">
        <v>12</v>
      </c>
      <c r="Q593" s="19">
        <v>1</v>
      </c>
      <c r="R593" s="19" t="s">
        <v>431</v>
      </c>
      <c r="S593" s="26">
        <v>0</v>
      </c>
      <c r="T593" s="28">
        <v>16</v>
      </c>
      <c r="U593" s="19">
        <v>0</v>
      </c>
      <c r="V593" s="19" t="s">
        <v>431</v>
      </c>
      <c r="X593" t="b">
        <f>VLOOKUP(B593,'M10B Order'!B:F,5,FALSE)=W593</f>
        <v>1</v>
      </c>
    </row>
    <row r="594" spans="1:24" x14ac:dyDescent="0.2">
      <c r="A594" s="19">
        <v>557968939</v>
      </c>
      <c r="B594" s="19" t="s">
        <v>1063</v>
      </c>
      <c r="C594" s="19" t="s">
        <v>1064</v>
      </c>
      <c r="D594" s="19" t="s">
        <v>370</v>
      </c>
      <c r="E594" s="19" t="s">
        <v>1778</v>
      </c>
      <c r="F594" s="19">
        <v>508804198</v>
      </c>
      <c r="G594" s="19">
        <v>8</v>
      </c>
      <c r="H594" s="19">
        <v>8</v>
      </c>
      <c r="I594" s="19">
        <v>998</v>
      </c>
      <c r="J594" s="25">
        <v>0.97194400000000003</v>
      </c>
      <c r="K594" s="26">
        <v>223.99910399999976</v>
      </c>
      <c r="L594" s="26">
        <v>0</v>
      </c>
      <c r="M594" s="26">
        <v>7</v>
      </c>
      <c r="N594" s="26">
        <v>8</v>
      </c>
      <c r="O594" s="27">
        <v>15</v>
      </c>
      <c r="P594" s="19">
        <v>12</v>
      </c>
      <c r="Q594" s="19">
        <v>1</v>
      </c>
      <c r="R594" s="19" t="s">
        <v>431</v>
      </c>
      <c r="S594" s="26">
        <v>0</v>
      </c>
      <c r="T594" s="28">
        <v>17</v>
      </c>
      <c r="U594" s="19">
        <v>0</v>
      </c>
      <c r="V594" s="19" t="s">
        <v>431</v>
      </c>
      <c r="X594" t="b">
        <f>VLOOKUP(B594,'M10B Order'!B:F,5,FALSE)=W594</f>
        <v>1</v>
      </c>
    </row>
    <row r="595" spans="1:24" x14ac:dyDescent="0.2">
      <c r="A595" s="19">
        <v>557968917</v>
      </c>
      <c r="B595" s="19" t="s">
        <v>1065</v>
      </c>
      <c r="C595" s="19" t="s">
        <v>1066</v>
      </c>
      <c r="D595" s="19" t="s">
        <v>370</v>
      </c>
      <c r="E595" s="19" t="s">
        <v>1778</v>
      </c>
      <c r="F595" s="19">
        <v>508804198</v>
      </c>
      <c r="G595" s="19">
        <v>8</v>
      </c>
      <c r="H595" s="19">
        <v>8</v>
      </c>
      <c r="I595" s="19">
        <v>998</v>
      </c>
      <c r="J595" s="25">
        <v>0.96593200000000001</v>
      </c>
      <c r="K595" s="26">
        <v>271.9989119999999</v>
      </c>
      <c r="L595" s="26">
        <v>1616</v>
      </c>
      <c r="M595" s="26">
        <v>7</v>
      </c>
      <c r="N595" s="26">
        <v>8</v>
      </c>
      <c r="O595" s="27">
        <v>15</v>
      </c>
      <c r="P595" s="19">
        <v>12</v>
      </c>
      <c r="Q595" s="19">
        <v>1</v>
      </c>
      <c r="R595" s="19" t="s">
        <v>431</v>
      </c>
      <c r="S595" s="26">
        <v>0</v>
      </c>
      <c r="T595" s="28">
        <v>15</v>
      </c>
      <c r="U595" s="19">
        <v>0</v>
      </c>
      <c r="V595" s="19" t="s">
        <v>431</v>
      </c>
      <c r="X595" t="b">
        <f>VLOOKUP(B595,'M10B Order'!B:F,5,FALSE)=W595</f>
        <v>1</v>
      </c>
    </row>
    <row r="596" spans="1:24" x14ac:dyDescent="0.2">
      <c r="A596" s="19">
        <v>557968918</v>
      </c>
      <c r="B596" s="19" t="s">
        <v>1067</v>
      </c>
      <c r="C596" s="19" t="s">
        <v>1068</v>
      </c>
      <c r="D596" s="19" t="s">
        <v>370</v>
      </c>
      <c r="E596" s="19" t="s">
        <v>1778</v>
      </c>
      <c r="F596" s="19">
        <v>508804198</v>
      </c>
      <c r="G596" s="19">
        <v>8</v>
      </c>
      <c r="H596" s="19">
        <v>8</v>
      </c>
      <c r="I596" s="19">
        <v>85</v>
      </c>
      <c r="J596" s="25">
        <v>0.95294100000000004</v>
      </c>
      <c r="K596" s="26">
        <v>32.000119999999974</v>
      </c>
      <c r="L596" s="26">
        <v>1640</v>
      </c>
      <c r="M596" s="26">
        <v>7</v>
      </c>
      <c r="N596" s="26">
        <v>8</v>
      </c>
      <c r="O596" s="27">
        <v>15</v>
      </c>
      <c r="P596" s="19">
        <v>12</v>
      </c>
      <c r="Q596" s="19">
        <v>1</v>
      </c>
      <c r="R596" s="19" t="s">
        <v>431</v>
      </c>
      <c r="S596" s="26">
        <v>0</v>
      </c>
      <c r="T596" s="28" t="s">
        <v>1933</v>
      </c>
      <c r="U596" s="19">
        <v>0</v>
      </c>
      <c r="V596" s="19" t="s">
        <v>431</v>
      </c>
      <c r="X596" t="b">
        <f>VLOOKUP(B596,'M10B Order'!B:F,5,FALSE)=W596</f>
        <v>1</v>
      </c>
    </row>
    <row r="597" spans="1:24" x14ac:dyDescent="0.2">
      <c r="A597" s="19">
        <v>573621624</v>
      </c>
      <c r="B597" s="19" t="s">
        <v>1050</v>
      </c>
      <c r="C597" s="19" t="s">
        <v>1051</v>
      </c>
      <c r="D597" s="19" t="s">
        <v>370</v>
      </c>
      <c r="E597" s="19" t="s">
        <v>1778</v>
      </c>
      <c r="F597" s="19">
        <v>508804198</v>
      </c>
      <c r="G597" s="19">
        <v>8</v>
      </c>
      <c r="H597" s="19">
        <v>8</v>
      </c>
      <c r="I597" s="19">
        <v>1378</v>
      </c>
      <c r="J597" s="25">
        <v>0.98621199999999998</v>
      </c>
      <c r="K597" s="26">
        <v>151.99891200000025</v>
      </c>
      <c r="L597" s="26">
        <v>4112</v>
      </c>
      <c r="M597" s="26">
        <v>7</v>
      </c>
      <c r="N597" s="26">
        <v>8</v>
      </c>
      <c r="O597" s="27">
        <v>15</v>
      </c>
      <c r="P597" s="19">
        <v>12</v>
      </c>
      <c r="Q597" s="19">
        <v>1</v>
      </c>
      <c r="R597" s="19" t="s">
        <v>431</v>
      </c>
      <c r="S597" s="26">
        <v>0</v>
      </c>
      <c r="T597" s="28">
        <v>17</v>
      </c>
      <c r="U597" s="19">
        <v>0</v>
      </c>
      <c r="V597" s="19" t="s">
        <v>431</v>
      </c>
      <c r="X597" t="b">
        <f>VLOOKUP(B597,'M10B Order'!B:F,5,FALSE)=W597</f>
        <v>1</v>
      </c>
    </row>
    <row r="598" spans="1:24" x14ac:dyDescent="0.2">
      <c r="A598" s="19">
        <v>553671137</v>
      </c>
      <c r="B598" s="19" t="s">
        <v>1109</v>
      </c>
      <c r="C598" s="19" t="s">
        <v>1110</v>
      </c>
      <c r="D598" s="19" t="s">
        <v>370</v>
      </c>
      <c r="E598" s="19" t="s">
        <v>1778</v>
      </c>
      <c r="F598" s="19">
        <v>508804198</v>
      </c>
      <c r="G598" s="19">
        <v>8</v>
      </c>
      <c r="H598" s="19">
        <v>8</v>
      </c>
      <c r="I598" s="19">
        <v>85</v>
      </c>
      <c r="J598" s="25">
        <v>1</v>
      </c>
      <c r="K598" s="26">
        <v>0</v>
      </c>
      <c r="L598" s="26">
        <v>840</v>
      </c>
      <c r="M598" s="26">
        <v>7</v>
      </c>
      <c r="N598" s="26">
        <v>8</v>
      </c>
      <c r="O598" s="27">
        <v>15</v>
      </c>
      <c r="P598" s="19">
        <v>12</v>
      </c>
      <c r="Q598" s="19">
        <v>1</v>
      </c>
      <c r="R598" s="19" t="s">
        <v>431</v>
      </c>
      <c r="S598" s="26">
        <v>0</v>
      </c>
      <c r="T598" s="28" t="s">
        <v>1933</v>
      </c>
      <c r="U598" s="19">
        <v>0</v>
      </c>
      <c r="V598" s="19" t="s">
        <v>431</v>
      </c>
      <c r="X598" t="b">
        <f>VLOOKUP(B598,'M10B Order'!B:F,5,FALSE)=W598</f>
        <v>1</v>
      </c>
    </row>
    <row r="599" spans="1:24" x14ac:dyDescent="0.2">
      <c r="A599" s="19">
        <v>553667108</v>
      </c>
      <c r="B599" s="19" t="s">
        <v>1073</v>
      </c>
      <c r="C599" s="19" t="s">
        <v>1074</v>
      </c>
      <c r="D599" s="19" t="s">
        <v>370</v>
      </c>
      <c r="E599" s="19" t="s">
        <v>1778</v>
      </c>
      <c r="F599" s="19">
        <v>508804198</v>
      </c>
      <c r="G599" s="19">
        <v>8</v>
      </c>
      <c r="H599" s="19">
        <v>8</v>
      </c>
      <c r="I599" s="19">
        <v>85</v>
      </c>
      <c r="J599" s="25">
        <v>0.97647099999999998</v>
      </c>
      <c r="K599" s="26">
        <v>15.999720000000014</v>
      </c>
      <c r="L599" s="26">
        <v>2264</v>
      </c>
      <c r="M599" s="26">
        <v>7</v>
      </c>
      <c r="N599" s="26">
        <v>8</v>
      </c>
      <c r="O599" s="27">
        <v>15</v>
      </c>
      <c r="P599" s="19">
        <v>12</v>
      </c>
      <c r="Q599" s="19">
        <v>1</v>
      </c>
      <c r="R599" s="19" t="s">
        <v>431</v>
      </c>
      <c r="S599" s="26">
        <v>0</v>
      </c>
      <c r="T599" s="28" t="s">
        <v>1933</v>
      </c>
      <c r="U599" s="19">
        <v>0</v>
      </c>
      <c r="V599" s="19" t="s">
        <v>431</v>
      </c>
      <c r="X599" t="b">
        <f>VLOOKUP(B599,'M10B Order'!B:F,5,FALSE)=W599</f>
        <v>1</v>
      </c>
    </row>
    <row r="600" spans="1:24" x14ac:dyDescent="0.2">
      <c r="A600" s="19">
        <v>557968904</v>
      </c>
      <c r="B600" s="19" t="s">
        <v>1075</v>
      </c>
      <c r="C600" s="29" t="s">
        <v>1076</v>
      </c>
      <c r="D600" s="19" t="s">
        <v>370</v>
      </c>
      <c r="E600" s="19" t="s">
        <v>1778</v>
      </c>
      <c r="F600" s="19">
        <v>508804198</v>
      </c>
      <c r="G600" s="19">
        <v>8</v>
      </c>
      <c r="H600" s="19">
        <v>8</v>
      </c>
      <c r="I600" s="19">
        <v>86</v>
      </c>
      <c r="J600" s="25">
        <v>0.96511599999999997</v>
      </c>
      <c r="K600" s="26">
        <v>24.00019200000002</v>
      </c>
      <c r="L600" s="26">
        <v>1488</v>
      </c>
      <c r="M600" s="26">
        <v>7</v>
      </c>
      <c r="N600" s="26">
        <v>8</v>
      </c>
      <c r="O600" s="27">
        <v>15</v>
      </c>
      <c r="P600" s="19">
        <v>12</v>
      </c>
      <c r="Q600" s="19">
        <v>1</v>
      </c>
      <c r="R600" s="19" t="s">
        <v>431</v>
      </c>
      <c r="S600" s="26">
        <v>0</v>
      </c>
      <c r="T600" s="28" t="s">
        <v>1933</v>
      </c>
      <c r="U600" s="19">
        <v>0</v>
      </c>
      <c r="V600" s="19" t="s">
        <v>431</v>
      </c>
      <c r="X600" t="b">
        <f>VLOOKUP(B600,'M10B Order'!B:F,5,FALSE)=W600</f>
        <v>1</v>
      </c>
    </row>
    <row r="601" spans="1:24" x14ac:dyDescent="0.2">
      <c r="A601" s="19">
        <v>573608979</v>
      </c>
      <c r="B601" s="19" t="s">
        <v>1099</v>
      </c>
      <c r="C601" s="29" t="s">
        <v>1100</v>
      </c>
      <c r="D601" s="19" t="s">
        <v>370</v>
      </c>
      <c r="E601" s="19" t="s">
        <v>1778</v>
      </c>
      <c r="F601" s="19">
        <v>508804198</v>
      </c>
      <c r="G601" s="19">
        <v>8</v>
      </c>
      <c r="H601" s="19">
        <v>8</v>
      </c>
      <c r="I601" s="19">
        <v>1379</v>
      </c>
      <c r="J601" s="25">
        <v>0.97606999999999999</v>
      </c>
      <c r="K601" s="26">
        <v>263.99576000000008</v>
      </c>
      <c r="L601" s="26">
        <v>6664</v>
      </c>
      <c r="M601" s="26">
        <v>7</v>
      </c>
      <c r="N601" s="26">
        <v>8</v>
      </c>
      <c r="O601" s="27">
        <v>15</v>
      </c>
      <c r="P601" s="19">
        <v>12</v>
      </c>
      <c r="Q601" s="19">
        <v>1</v>
      </c>
      <c r="R601" s="19" t="s">
        <v>431</v>
      </c>
      <c r="S601" s="26">
        <v>0</v>
      </c>
      <c r="T601" s="28">
        <v>18</v>
      </c>
      <c r="U601" s="19">
        <v>0</v>
      </c>
      <c r="V601" s="19" t="s">
        <v>431</v>
      </c>
      <c r="X601" t="b">
        <f>VLOOKUP(B601,'M10B Order'!B:F,5,FALSE)=W601</f>
        <v>1</v>
      </c>
    </row>
    <row r="602" spans="1:24" x14ac:dyDescent="0.2">
      <c r="A602" s="19">
        <v>573608983</v>
      </c>
      <c r="B602" s="19" t="s">
        <v>1103</v>
      </c>
      <c r="C602" s="29" t="s">
        <v>1104</v>
      </c>
      <c r="D602" s="19" t="s">
        <v>370</v>
      </c>
      <c r="E602" s="19" t="s">
        <v>1778</v>
      </c>
      <c r="F602" s="19">
        <v>508804198</v>
      </c>
      <c r="G602" s="19">
        <v>8</v>
      </c>
      <c r="H602" s="19">
        <v>8</v>
      </c>
      <c r="I602" s="19">
        <v>1377</v>
      </c>
      <c r="J602" s="25">
        <v>0.97095100000000001</v>
      </c>
      <c r="K602" s="26">
        <v>320.00378399999988</v>
      </c>
      <c r="L602" s="26">
        <v>3584</v>
      </c>
      <c r="M602" s="26">
        <v>7</v>
      </c>
      <c r="N602" s="26">
        <v>8</v>
      </c>
      <c r="O602" s="27">
        <v>15</v>
      </c>
      <c r="P602" s="19">
        <v>12</v>
      </c>
      <c r="Q602" s="19">
        <v>1</v>
      </c>
      <c r="R602" s="19" t="s">
        <v>431</v>
      </c>
      <c r="S602" s="26">
        <v>0</v>
      </c>
      <c r="T602" s="28">
        <v>14</v>
      </c>
      <c r="U602" s="19">
        <v>0</v>
      </c>
      <c r="V602" s="19" t="s">
        <v>431</v>
      </c>
      <c r="X602" t="b">
        <f>VLOOKUP(B602,'M10B Order'!B:F,5,FALSE)=W602</f>
        <v>1</v>
      </c>
    </row>
    <row r="603" spans="1:24" x14ac:dyDescent="0.2">
      <c r="A603" s="19">
        <v>557968909</v>
      </c>
      <c r="B603" s="19" t="s">
        <v>1069</v>
      </c>
      <c r="C603" s="29" t="s">
        <v>1070</v>
      </c>
      <c r="D603" s="19" t="s">
        <v>370</v>
      </c>
      <c r="E603" s="19" t="s">
        <v>1778</v>
      </c>
      <c r="F603" s="19">
        <v>508804198</v>
      </c>
      <c r="G603" s="19">
        <v>8</v>
      </c>
      <c r="H603" s="19">
        <v>8</v>
      </c>
      <c r="I603" s="19">
        <v>86</v>
      </c>
      <c r="J603" s="25">
        <v>1</v>
      </c>
      <c r="K603" s="26">
        <v>0</v>
      </c>
      <c r="L603" s="26">
        <v>1280</v>
      </c>
      <c r="M603" s="26">
        <v>7</v>
      </c>
      <c r="N603" s="26">
        <v>8</v>
      </c>
      <c r="O603" s="27">
        <v>15</v>
      </c>
      <c r="P603" s="19">
        <v>12</v>
      </c>
      <c r="Q603" s="19">
        <v>1</v>
      </c>
      <c r="R603" s="19" t="s">
        <v>431</v>
      </c>
      <c r="S603" s="26">
        <v>0</v>
      </c>
      <c r="T603" s="28" t="s">
        <v>1933</v>
      </c>
      <c r="U603" s="19">
        <v>0</v>
      </c>
      <c r="V603" s="19" t="s">
        <v>431</v>
      </c>
      <c r="X603" t="b">
        <f>VLOOKUP(B603,'M10B Order'!B:F,5,FALSE)=W603</f>
        <v>1</v>
      </c>
    </row>
    <row r="604" spans="1:24" x14ac:dyDescent="0.2">
      <c r="A604" s="19">
        <v>573608976</v>
      </c>
      <c r="B604" s="19" t="s">
        <v>1054</v>
      </c>
      <c r="C604" s="19" t="s">
        <v>1055</v>
      </c>
      <c r="D604" s="19" t="s">
        <v>370</v>
      </c>
      <c r="E604" s="19" t="s">
        <v>1778</v>
      </c>
      <c r="F604" s="19">
        <v>508804198</v>
      </c>
      <c r="G604" s="19">
        <v>8</v>
      </c>
      <c r="H604" s="19">
        <v>8</v>
      </c>
      <c r="I604" s="19">
        <v>1234</v>
      </c>
      <c r="J604" s="25">
        <v>0.98622399999999999</v>
      </c>
      <c r="K604" s="26">
        <v>135.9966720000001</v>
      </c>
      <c r="L604" s="26">
        <v>3136</v>
      </c>
      <c r="M604" s="26">
        <v>7</v>
      </c>
      <c r="N604" s="26">
        <v>8</v>
      </c>
      <c r="O604" s="27">
        <v>15</v>
      </c>
      <c r="P604" s="19">
        <v>12</v>
      </c>
      <c r="Q604" s="19">
        <v>1</v>
      </c>
      <c r="R604" s="19" t="s">
        <v>431</v>
      </c>
      <c r="S604" s="26">
        <v>0</v>
      </c>
      <c r="T604" s="28">
        <v>22</v>
      </c>
      <c r="U604" s="19">
        <v>0</v>
      </c>
      <c r="V604" s="19" t="s">
        <v>431</v>
      </c>
      <c r="X604" t="b">
        <f>VLOOKUP(B604,'M10B Order'!B:F,5,FALSE)=W604</f>
        <v>1</v>
      </c>
    </row>
    <row r="605" spans="1:24" x14ac:dyDescent="0.2">
      <c r="A605" s="19">
        <v>573608974</v>
      </c>
      <c r="B605" s="19" t="s">
        <v>1046</v>
      </c>
      <c r="C605" s="19" t="s">
        <v>1047</v>
      </c>
      <c r="D605" s="19" t="s">
        <v>370</v>
      </c>
      <c r="E605" s="19" t="s">
        <v>1778</v>
      </c>
      <c r="F605" s="19">
        <v>508804198</v>
      </c>
      <c r="G605" s="19">
        <v>8</v>
      </c>
      <c r="H605" s="19">
        <v>8</v>
      </c>
      <c r="I605" s="19">
        <v>1379</v>
      </c>
      <c r="J605" s="25">
        <v>0.97897000000000001</v>
      </c>
      <c r="K605" s="26">
        <v>232.00295999999992</v>
      </c>
      <c r="L605" s="26">
        <v>6784</v>
      </c>
      <c r="M605" s="26">
        <v>7</v>
      </c>
      <c r="N605" s="26">
        <v>8</v>
      </c>
      <c r="O605" s="27">
        <v>15</v>
      </c>
      <c r="P605" s="19">
        <v>12</v>
      </c>
      <c r="Q605" s="19">
        <v>1</v>
      </c>
      <c r="R605" s="19" t="s">
        <v>431</v>
      </c>
      <c r="S605" s="26">
        <v>0</v>
      </c>
      <c r="T605" s="28">
        <v>16</v>
      </c>
      <c r="U605" s="19">
        <v>0</v>
      </c>
      <c r="V605" s="19" t="s">
        <v>431</v>
      </c>
      <c r="X605" t="b">
        <f>VLOOKUP(B605,'M10B Order'!B:F,5,FALSE)=W605</f>
        <v>1</v>
      </c>
    </row>
    <row r="606" spans="1:24" x14ac:dyDescent="0.2">
      <c r="A606" s="19">
        <v>573608984</v>
      </c>
      <c r="B606" s="19" t="s">
        <v>1044</v>
      </c>
      <c r="C606" s="19" t="s">
        <v>1045</v>
      </c>
      <c r="D606" s="19" t="s">
        <v>370</v>
      </c>
      <c r="E606" s="19" t="s">
        <v>1778</v>
      </c>
      <c r="F606" s="19">
        <v>508804198</v>
      </c>
      <c r="G606" s="19">
        <v>8</v>
      </c>
      <c r="H606" s="19">
        <v>8</v>
      </c>
      <c r="I606" s="19">
        <v>1378</v>
      </c>
      <c r="J606" s="25">
        <v>0.97822900000000002</v>
      </c>
      <c r="K606" s="26">
        <v>240.00350399999982</v>
      </c>
      <c r="L606" s="26">
        <v>4112</v>
      </c>
      <c r="M606" s="26">
        <v>7</v>
      </c>
      <c r="N606" s="26">
        <v>8</v>
      </c>
      <c r="O606" s="27">
        <v>15</v>
      </c>
      <c r="P606" s="19">
        <v>12</v>
      </c>
      <c r="Q606" s="19">
        <v>1</v>
      </c>
      <c r="R606" s="19" t="s">
        <v>431</v>
      </c>
      <c r="S606" s="26">
        <v>0</v>
      </c>
      <c r="T606" s="28">
        <v>14</v>
      </c>
      <c r="U606" s="19">
        <v>0</v>
      </c>
      <c r="V606" s="19" t="s">
        <v>431</v>
      </c>
      <c r="X606" t="b">
        <f>VLOOKUP(B606,'M10B Order'!B:F,5,FALSE)=W606</f>
        <v>1</v>
      </c>
    </row>
    <row r="607" spans="1:24" x14ac:dyDescent="0.2">
      <c r="A607" s="19">
        <v>573608981</v>
      </c>
      <c r="B607" s="19" t="s">
        <v>1056</v>
      </c>
      <c r="C607" s="19" t="s">
        <v>1057</v>
      </c>
      <c r="D607" s="19" t="s">
        <v>370</v>
      </c>
      <c r="E607" s="19" t="s">
        <v>1778</v>
      </c>
      <c r="F607" s="19">
        <v>508804198</v>
      </c>
      <c r="G607" s="19">
        <v>8</v>
      </c>
      <c r="H607" s="19">
        <v>8</v>
      </c>
      <c r="I607" s="19">
        <v>199</v>
      </c>
      <c r="J607" s="25">
        <v>0.97487400000000002</v>
      </c>
      <c r="K607" s="26">
        <v>40.000591999999969</v>
      </c>
      <c r="L607" s="26">
        <v>1832</v>
      </c>
      <c r="M607" s="26">
        <v>7</v>
      </c>
      <c r="N607" s="26">
        <v>8</v>
      </c>
      <c r="O607" s="27">
        <v>15</v>
      </c>
      <c r="P607" s="19">
        <v>12</v>
      </c>
      <c r="Q607" s="19">
        <v>1</v>
      </c>
      <c r="R607" s="19" t="s">
        <v>431</v>
      </c>
      <c r="S607" s="26">
        <v>0</v>
      </c>
      <c r="T607" s="28" t="s">
        <v>1933</v>
      </c>
      <c r="U607" s="19">
        <v>0</v>
      </c>
      <c r="V607" s="19" t="s">
        <v>431</v>
      </c>
      <c r="X607" t="b">
        <f>VLOOKUP(B607,'M10B Order'!B:F,5,FALSE)=W607</f>
        <v>1</v>
      </c>
    </row>
    <row r="608" spans="1:24" x14ac:dyDescent="0.2">
      <c r="A608" s="19">
        <v>557968908</v>
      </c>
      <c r="B608" s="19" t="s">
        <v>1113</v>
      </c>
      <c r="C608" s="19" t="s">
        <v>1114</v>
      </c>
      <c r="D608" s="19" t="s">
        <v>370</v>
      </c>
      <c r="E608" s="19" t="s">
        <v>1778</v>
      </c>
      <c r="F608" s="19">
        <v>508804198</v>
      </c>
      <c r="G608" s="19">
        <v>8</v>
      </c>
      <c r="H608" s="19">
        <v>8</v>
      </c>
      <c r="I608" s="19">
        <v>86</v>
      </c>
      <c r="J608" s="25">
        <v>1</v>
      </c>
      <c r="K608" s="26">
        <v>0</v>
      </c>
      <c r="L608" s="26">
        <v>1312</v>
      </c>
      <c r="M608" s="26">
        <v>7</v>
      </c>
      <c r="N608" s="26">
        <v>8</v>
      </c>
      <c r="O608" s="27">
        <v>15</v>
      </c>
      <c r="P608" s="19">
        <v>12</v>
      </c>
      <c r="Q608" s="19">
        <v>1</v>
      </c>
      <c r="R608" s="19" t="s">
        <v>431</v>
      </c>
      <c r="S608" s="26">
        <v>0</v>
      </c>
      <c r="T608" s="28" t="s">
        <v>1933</v>
      </c>
      <c r="U608" s="19">
        <v>0</v>
      </c>
      <c r="V608" s="19" t="s">
        <v>431</v>
      </c>
      <c r="X608" t="b">
        <f>VLOOKUP(B608,'M10B Order'!B:F,5,FALSE)=W608</f>
        <v>1</v>
      </c>
    </row>
    <row r="609" spans="1:24" x14ac:dyDescent="0.2">
      <c r="A609" s="19">
        <v>553671150</v>
      </c>
      <c r="B609" s="19" t="s">
        <v>1105</v>
      </c>
      <c r="C609" s="19" t="s">
        <v>1106</v>
      </c>
      <c r="D609" s="19" t="s">
        <v>370</v>
      </c>
      <c r="E609" s="19" t="s">
        <v>1778</v>
      </c>
      <c r="F609" s="19">
        <v>508804198</v>
      </c>
      <c r="G609" s="19">
        <v>8</v>
      </c>
      <c r="H609" s="19">
        <v>8</v>
      </c>
      <c r="I609" s="19">
        <v>85</v>
      </c>
      <c r="J609" s="25">
        <v>1</v>
      </c>
      <c r="K609" s="26">
        <v>0</v>
      </c>
      <c r="L609" s="26">
        <v>1688</v>
      </c>
      <c r="M609" s="26">
        <v>7</v>
      </c>
      <c r="N609" s="26">
        <v>8</v>
      </c>
      <c r="O609" s="27">
        <v>15</v>
      </c>
      <c r="P609" s="19">
        <v>12</v>
      </c>
      <c r="Q609" s="19">
        <v>1</v>
      </c>
      <c r="R609" s="19" t="s">
        <v>431</v>
      </c>
      <c r="S609" s="26">
        <v>0</v>
      </c>
      <c r="T609" s="28" t="s">
        <v>1933</v>
      </c>
      <c r="U609" s="19">
        <v>0</v>
      </c>
      <c r="V609" s="19" t="s">
        <v>431</v>
      </c>
      <c r="X609" t="b">
        <f>VLOOKUP(B609,'M10B Order'!B:F,5,FALSE)=W609</f>
        <v>1</v>
      </c>
    </row>
    <row r="610" spans="1:24" x14ac:dyDescent="0.2">
      <c r="A610" s="19">
        <v>553671152</v>
      </c>
      <c r="B610" s="19" t="s">
        <v>1107</v>
      </c>
      <c r="C610" s="19" t="s">
        <v>1108</v>
      </c>
      <c r="D610" s="19" t="s">
        <v>370</v>
      </c>
      <c r="E610" s="19" t="s">
        <v>1778</v>
      </c>
      <c r="F610" s="19">
        <v>508804198</v>
      </c>
      <c r="G610" s="19">
        <v>8</v>
      </c>
      <c r="H610" s="19">
        <v>8</v>
      </c>
      <c r="I610" s="19">
        <v>85</v>
      </c>
      <c r="J610" s="25">
        <v>0.98823499999999997</v>
      </c>
      <c r="K610" s="26">
        <v>8.0002000000000173</v>
      </c>
      <c r="L610" s="26">
        <v>1048</v>
      </c>
      <c r="M610" s="26">
        <v>7</v>
      </c>
      <c r="N610" s="26">
        <v>8</v>
      </c>
      <c r="O610" s="27">
        <v>15</v>
      </c>
      <c r="P610" s="19">
        <v>12</v>
      </c>
      <c r="Q610" s="19">
        <v>1</v>
      </c>
      <c r="R610" s="19" t="s">
        <v>431</v>
      </c>
      <c r="S610" s="26">
        <v>0</v>
      </c>
      <c r="T610" s="28" t="s">
        <v>1933</v>
      </c>
      <c r="U610" s="19">
        <v>0</v>
      </c>
      <c r="V610" s="19" t="s">
        <v>431</v>
      </c>
      <c r="X610" t="b">
        <f>VLOOKUP(B610,'M10B Order'!B:F,5,FALSE)=W610</f>
        <v>1</v>
      </c>
    </row>
    <row r="611" spans="1:24" x14ac:dyDescent="0.2">
      <c r="A611" s="19">
        <v>553667109</v>
      </c>
      <c r="B611" s="19" t="s">
        <v>1077</v>
      </c>
      <c r="C611" s="19" t="s">
        <v>1078</v>
      </c>
      <c r="D611" s="19" t="s">
        <v>370</v>
      </c>
      <c r="E611" s="19" t="s">
        <v>1778</v>
      </c>
      <c r="F611" s="19">
        <v>508804198</v>
      </c>
      <c r="G611" s="19">
        <v>8</v>
      </c>
      <c r="H611" s="19">
        <v>8</v>
      </c>
      <c r="I611" s="19">
        <v>85</v>
      </c>
      <c r="J611" s="25">
        <v>0.96470599999999995</v>
      </c>
      <c r="K611" s="26">
        <v>23.999920000000031</v>
      </c>
      <c r="L611" s="26">
        <v>1608</v>
      </c>
      <c r="M611" s="26">
        <v>7</v>
      </c>
      <c r="N611" s="26">
        <v>8</v>
      </c>
      <c r="O611" s="27">
        <v>15</v>
      </c>
      <c r="P611" s="19">
        <v>12</v>
      </c>
      <c r="Q611" s="19">
        <v>1</v>
      </c>
      <c r="R611" s="19" t="s">
        <v>431</v>
      </c>
      <c r="S611" s="26">
        <v>0</v>
      </c>
      <c r="T611" s="28" t="s">
        <v>1933</v>
      </c>
      <c r="U611" s="19" t="s">
        <v>1079</v>
      </c>
      <c r="V611" s="19" t="s">
        <v>431</v>
      </c>
      <c r="X611" t="b">
        <f>VLOOKUP(B611,'M10B Order'!B:F,5,FALSE)=W611</f>
        <v>1</v>
      </c>
    </row>
    <row r="612" spans="1:24" x14ac:dyDescent="0.2">
      <c r="A612" s="19">
        <v>553671147</v>
      </c>
      <c r="B612" s="19" t="s">
        <v>1080</v>
      </c>
      <c r="C612" s="19" t="s">
        <v>1081</v>
      </c>
      <c r="D612" s="19" t="s">
        <v>370</v>
      </c>
      <c r="E612" s="19" t="s">
        <v>1778</v>
      </c>
      <c r="F612" s="19">
        <v>508804198</v>
      </c>
      <c r="G612" s="19">
        <v>8</v>
      </c>
      <c r="H612" s="19">
        <v>8</v>
      </c>
      <c r="I612" s="19">
        <v>85</v>
      </c>
      <c r="J612" s="25">
        <v>0.97647099999999998</v>
      </c>
      <c r="K612" s="26">
        <v>15.999720000000014</v>
      </c>
      <c r="L612" s="26">
        <v>416</v>
      </c>
      <c r="M612" s="26">
        <v>7</v>
      </c>
      <c r="N612" s="26">
        <v>8</v>
      </c>
      <c r="O612" s="27">
        <v>15</v>
      </c>
      <c r="P612" s="19">
        <v>12</v>
      </c>
      <c r="Q612" s="19">
        <v>1</v>
      </c>
      <c r="R612" s="19" t="s">
        <v>431</v>
      </c>
      <c r="S612" s="26">
        <v>0</v>
      </c>
      <c r="T612" s="28">
        <v>14</v>
      </c>
      <c r="U612" s="19" t="s">
        <v>1082</v>
      </c>
      <c r="V612" s="19" t="s">
        <v>431</v>
      </c>
      <c r="X612" t="b">
        <f>VLOOKUP(B612,'M10B Order'!B:F,5,FALSE)=W612</f>
        <v>1</v>
      </c>
    </row>
    <row r="613" spans="1:24" x14ac:dyDescent="0.2">
      <c r="A613" s="19">
        <v>587520105</v>
      </c>
      <c r="B613" s="19" t="s">
        <v>1845</v>
      </c>
      <c r="C613" s="19" t="s">
        <v>1846</v>
      </c>
      <c r="D613" s="19" t="s">
        <v>1830</v>
      </c>
      <c r="E613" s="19" t="s">
        <v>1778</v>
      </c>
      <c r="F613" s="19">
        <v>508804191</v>
      </c>
      <c r="G613" s="19">
        <v>8</v>
      </c>
      <c r="H613" s="19">
        <v>8</v>
      </c>
      <c r="I613" s="19">
        <v>472</v>
      </c>
      <c r="J613" s="25">
        <v>0.96186400000000005</v>
      </c>
      <c r="K613" s="26">
        <v>144.00153599999982</v>
      </c>
      <c r="L613" s="26">
        <v>1024</v>
      </c>
      <c r="M613" s="26">
        <v>7</v>
      </c>
      <c r="N613" s="26">
        <v>6</v>
      </c>
      <c r="O613" s="27">
        <v>13</v>
      </c>
      <c r="P613" s="19">
        <v>12</v>
      </c>
      <c r="Q613" s="19">
        <v>1</v>
      </c>
      <c r="R613" s="19" t="s">
        <v>431</v>
      </c>
      <c r="S613" s="26">
        <v>0</v>
      </c>
      <c r="T613" s="28">
        <v>14</v>
      </c>
      <c r="U613" s="19" t="s">
        <v>431</v>
      </c>
      <c r="V613" s="19" t="s">
        <v>431</v>
      </c>
      <c r="X613" t="b">
        <f>VLOOKUP(B613,'M10B Order'!B:F,5,FALSE)=W613</f>
        <v>1</v>
      </c>
    </row>
    <row r="614" spans="1:24" x14ac:dyDescent="0.2">
      <c r="A614" s="19">
        <v>587520108</v>
      </c>
      <c r="B614" s="19" t="s">
        <v>1849</v>
      </c>
      <c r="C614" s="19" t="s">
        <v>1850</v>
      </c>
      <c r="D614" s="19" t="s">
        <v>1830</v>
      </c>
      <c r="E614" s="19" t="s">
        <v>1778</v>
      </c>
      <c r="F614" s="19">
        <v>508804191</v>
      </c>
      <c r="G614" s="19">
        <v>8</v>
      </c>
      <c r="H614" s="19">
        <v>8</v>
      </c>
      <c r="I614" s="19">
        <v>2832</v>
      </c>
      <c r="J614" s="25">
        <v>0.98375699999999999</v>
      </c>
      <c r="K614" s="26">
        <v>368.0014080000002</v>
      </c>
      <c r="L614" s="26">
        <v>2560</v>
      </c>
      <c r="M614" s="26">
        <v>7</v>
      </c>
      <c r="N614" s="26">
        <v>6</v>
      </c>
      <c r="O614" s="27">
        <v>13</v>
      </c>
      <c r="P614" s="19">
        <v>12</v>
      </c>
      <c r="Q614" s="19">
        <v>1</v>
      </c>
      <c r="R614" s="19" t="s">
        <v>431</v>
      </c>
      <c r="S614" s="26">
        <v>0</v>
      </c>
      <c r="T614" s="28">
        <v>14</v>
      </c>
      <c r="U614" s="19" t="s">
        <v>431</v>
      </c>
      <c r="V614" s="19" t="s">
        <v>431</v>
      </c>
      <c r="X614" t="b">
        <f>VLOOKUP(B614,'M10B Order'!B:F,5,FALSE)=W614</f>
        <v>1</v>
      </c>
    </row>
    <row r="615" spans="1:24" x14ac:dyDescent="0.2">
      <c r="A615" s="19">
        <v>587520107</v>
      </c>
      <c r="B615" s="19" t="s">
        <v>1853</v>
      </c>
      <c r="C615" s="19" t="s">
        <v>1854</v>
      </c>
      <c r="D615" s="19" t="s">
        <v>1830</v>
      </c>
      <c r="E615" s="19" t="s">
        <v>1778</v>
      </c>
      <c r="F615" s="19">
        <v>508804191</v>
      </c>
      <c r="G615" s="19">
        <v>8</v>
      </c>
      <c r="H615" s="19">
        <v>8</v>
      </c>
      <c r="I615" s="19">
        <v>2687</v>
      </c>
      <c r="J615" s="25">
        <v>0.98474099999999998</v>
      </c>
      <c r="K615" s="26">
        <v>328.00746400000048</v>
      </c>
      <c r="L615" s="26">
        <v>2264</v>
      </c>
      <c r="M615" s="26">
        <v>7</v>
      </c>
      <c r="N615" s="26">
        <v>6</v>
      </c>
      <c r="O615" s="27">
        <v>13</v>
      </c>
      <c r="P615" s="19">
        <v>12</v>
      </c>
      <c r="Q615" s="19">
        <v>1</v>
      </c>
      <c r="R615" s="19" t="s">
        <v>431</v>
      </c>
      <c r="S615" s="26">
        <v>0</v>
      </c>
      <c r="T615" s="28">
        <v>15</v>
      </c>
      <c r="U615" s="19" t="s">
        <v>431</v>
      </c>
      <c r="V615" s="19" t="s">
        <v>431</v>
      </c>
      <c r="X615" t="b">
        <f>VLOOKUP(B615,'M10B Order'!B:F,5,FALSE)=W615</f>
        <v>1</v>
      </c>
    </row>
    <row r="616" spans="1:24" x14ac:dyDescent="0.2">
      <c r="A616" s="19">
        <v>587520120</v>
      </c>
      <c r="B616" s="19" t="s">
        <v>1861</v>
      </c>
      <c r="C616" s="19" t="s">
        <v>1862</v>
      </c>
      <c r="D616" s="19" t="s">
        <v>1830</v>
      </c>
      <c r="E616" s="19" t="s">
        <v>1778</v>
      </c>
      <c r="F616" s="19">
        <v>508804191</v>
      </c>
      <c r="G616" s="19">
        <v>8</v>
      </c>
      <c r="H616" s="19">
        <v>8</v>
      </c>
      <c r="I616" s="19">
        <v>1272</v>
      </c>
      <c r="J616" s="25">
        <v>0.96540899999999996</v>
      </c>
      <c r="K616" s="26">
        <v>351.9980160000004</v>
      </c>
      <c r="L616" s="26">
        <v>2109</v>
      </c>
      <c r="M616" s="26">
        <v>7</v>
      </c>
      <c r="N616" s="26">
        <v>6</v>
      </c>
      <c r="O616" s="27">
        <v>13</v>
      </c>
      <c r="P616" s="19">
        <v>12</v>
      </c>
      <c r="Q616" s="19">
        <v>1</v>
      </c>
      <c r="R616" s="19" t="s">
        <v>431</v>
      </c>
      <c r="S616" s="26">
        <v>0</v>
      </c>
      <c r="T616" s="28">
        <v>17</v>
      </c>
      <c r="U616" s="19">
        <v>0</v>
      </c>
      <c r="V616" s="19" t="s">
        <v>431</v>
      </c>
      <c r="X616" t="b">
        <f>VLOOKUP(B616,'M10B Order'!B:F,5,FALSE)=W616</f>
        <v>1</v>
      </c>
    </row>
    <row r="617" spans="1:24" x14ac:dyDescent="0.2">
      <c r="A617" s="19">
        <v>587520119</v>
      </c>
      <c r="B617" s="19" t="s">
        <v>1867</v>
      </c>
      <c r="C617" s="19" t="s">
        <v>1868</v>
      </c>
      <c r="D617" s="19" t="s">
        <v>1830</v>
      </c>
      <c r="E617" s="19" t="s">
        <v>1778</v>
      </c>
      <c r="F617" s="19">
        <v>508804191</v>
      </c>
      <c r="G617" s="19">
        <v>8</v>
      </c>
      <c r="H617" s="19">
        <v>8</v>
      </c>
      <c r="I617" s="19">
        <v>1247</v>
      </c>
      <c r="J617" s="25">
        <v>0.97433800000000004</v>
      </c>
      <c r="K617" s="26">
        <v>256.00411199999962</v>
      </c>
      <c r="L617" s="26">
        <v>8</v>
      </c>
      <c r="M617" s="26">
        <v>7</v>
      </c>
      <c r="N617" s="26">
        <v>6</v>
      </c>
      <c r="O617" s="27">
        <v>13</v>
      </c>
      <c r="P617" s="19">
        <v>12</v>
      </c>
      <c r="Q617" s="19">
        <v>1</v>
      </c>
      <c r="R617" s="19" t="s">
        <v>431</v>
      </c>
      <c r="S617" s="26">
        <v>0</v>
      </c>
      <c r="T617" s="28">
        <v>14</v>
      </c>
      <c r="U617" s="19" t="s">
        <v>1806</v>
      </c>
      <c r="V617" s="19">
        <v>388.57678399999884</v>
      </c>
      <c r="X617" t="b">
        <f>VLOOKUP(B617,'M10B Order'!B:F,5,FALSE)=W617</f>
        <v>1</v>
      </c>
    </row>
    <row r="618" spans="1:24" x14ac:dyDescent="0.2">
      <c r="A618" s="19">
        <v>587520121</v>
      </c>
      <c r="B618" s="19" t="s">
        <v>1869</v>
      </c>
      <c r="C618" s="19" t="s">
        <v>1852</v>
      </c>
      <c r="D618" s="19" t="s">
        <v>1830</v>
      </c>
      <c r="E618" s="19" t="s">
        <v>1778</v>
      </c>
      <c r="F618" s="19">
        <v>508804191</v>
      </c>
      <c r="G618" s="19">
        <v>8</v>
      </c>
      <c r="H618" s="19">
        <v>8</v>
      </c>
      <c r="I618" s="19">
        <v>1640</v>
      </c>
      <c r="J618" s="25">
        <v>0.97865899999999995</v>
      </c>
      <c r="K618" s="26">
        <v>279.99392000000068</v>
      </c>
      <c r="L618" s="26">
        <v>1720</v>
      </c>
      <c r="M618" s="26">
        <v>7</v>
      </c>
      <c r="N618" s="26">
        <v>6</v>
      </c>
      <c r="O618" s="27">
        <v>13</v>
      </c>
      <c r="P618" s="19">
        <v>12</v>
      </c>
      <c r="Q618" s="19">
        <v>1</v>
      </c>
      <c r="R618" s="19" t="s">
        <v>431</v>
      </c>
      <c r="S618" s="26">
        <v>0</v>
      </c>
      <c r="T618" s="28">
        <v>15</v>
      </c>
      <c r="U618" s="19" t="s">
        <v>431</v>
      </c>
      <c r="V618" s="19" t="s">
        <v>431</v>
      </c>
      <c r="X618" t="b">
        <f>VLOOKUP(B618,'M10B Order'!B:F,5,FALSE)=W618</f>
        <v>1</v>
      </c>
    </row>
    <row r="619" spans="1:24" x14ac:dyDescent="0.2">
      <c r="A619" s="19">
        <v>587520122</v>
      </c>
      <c r="B619" s="19" t="s">
        <v>1874</v>
      </c>
      <c r="C619" s="19" t="s">
        <v>1875</v>
      </c>
      <c r="D619" s="19" t="s">
        <v>1830</v>
      </c>
      <c r="E619" s="19" t="s">
        <v>1778</v>
      </c>
      <c r="F619" s="19">
        <v>508804191</v>
      </c>
      <c r="G619" s="19">
        <v>8</v>
      </c>
      <c r="H619" s="19">
        <v>8</v>
      </c>
      <c r="I619" s="19">
        <v>1438</v>
      </c>
      <c r="J619" s="25">
        <v>0.96314299999999997</v>
      </c>
      <c r="K619" s="26">
        <v>424.00292800000034</v>
      </c>
      <c r="L619" s="26">
        <v>0</v>
      </c>
      <c r="M619" s="26">
        <v>7</v>
      </c>
      <c r="N619" s="26">
        <v>6</v>
      </c>
      <c r="O619" s="27">
        <v>13</v>
      </c>
      <c r="P619" s="19">
        <v>12</v>
      </c>
      <c r="Q619" s="19">
        <v>1</v>
      </c>
      <c r="R619" s="19" t="s">
        <v>431</v>
      </c>
      <c r="S619" s="26">
        <v>0</v>
      </c>
      <c r="T619" s="28">
        <v>14</v>
      </c>
      <c r="U619" s="19" t="s">
        <v>431</v>
      </c>
      <c r="V619" s="19" t="s">
        <v>431</v>
      </c>
      <c r="X619" t="b">
        <f>VLOOKUP(B619,'M10B Order'!B:F,5,FALSE)=W619</f>
        <v>1</v>
      </c>
    </row>
    <row r="620" spans="1:24" x14ac:dyDescent="0.2">
      <c r="A620" s="19">
        <v>587520123</v>
      </c>
      <c r="B620" s="19" t="s">
        <v>1878</v>
      </c>
      <c r="C620" s="19" t="s">
        <v>1879</v>
      </c>
      <c r="D620" s="19" t="s">
        <v>1830</v>
      </c>
      <c r="E620" s="19" t="s">
        <v>1778</v>
      </c>
      <c r="F620" s="19">
        <v>508804191</v>
      </c>
      <c r="G620" s="19">
        <v>8</v>
      </c>
      <c r="H620" s="19">
        <v>8</v>
      </c>
      <c r="I620" s="19">
        <v>214</v>
      </c>
      <c r="J620" s="25">
        <v>0.92990700000000004</v>
      </c>
      <c r="K620" s="26">
        <v>119.99921599999993</v>
      </c>
      <c r="L620" s="26">
        <v>1144</v>
      </c>
      <c r="M620" s="26">
        <v>7</v>
      </c>
      <c r="N620" s="26">
        <v>6</v>
      </c>
      <c r="O620" s="27">
        <v>13</v>
      </c>
      <c r="P620" s="19">
        <v>12</v>
      </c>
      <c r="Q620" s="19">
        <v>1</v>
      </c>
      <c r="R620" s="19" t="s">
        <v>431</v>
      </c>
      <c r="S620" s="26">
        <v>0</v>
      </c>
      <c r="T620" s="28" t="s">
        <v>1933</v>
      </c>
      <c r="U620" s="19" t="s">
        <v>431</v>
      </c>
      <c r="V620" s="19" t="s">
        <v>431</v>
      </c>
      <c r="X620" t="b">
        <f>VLOOKUP(B620,'M10B Order'!B:F,5,FALSE)=W620</f>
        <v>1</v>
      </c>
    </row>
    <row r="621" spans="1:24" x14ac:dyDescent="0.2">
      <c r="A621" s="19">
        <v>587520129</v>
      </c>
      <c r="B621" s="19" t="s">
        <v>1884</v>
      </c>
      <c r="C621" s="19" t="s">
        <v>1885</v>
      </c>
      <c r="D621" s="19" t="s">
        <v>1830</v>
      </c>
      <c r="E621" s="19" t="s">
        <v>1778</v>
      </c>
      <c r="F621" s="19">
        <v>508804191</v>
      </c>
      <c r="G621" s="19">
        <v>8</v>
      </c>
      <c r="H621" s="19">
        <v>8</v>
      </c>
      <c r="I621" s="19">
        <v>1248</v>
      </c>
      <c r="J621" s="25">
        <v>0.97355800000000003</v>
      </c>
      <c r="K621" s="26">
        <v>263.99692799999968</v>
      </c>
      <c r="L621" s="26">
        <v>920</v>
      </c>
      <c r="M621" s="26">
        <v>7</v>
      </c>
      <c r="N621" s="26">
        <v>6</v>
      </c>
      <c r="O621" s="27">
        <v>13</v>
      </c>
      <c r="P621" s="19">
        <v>12</v>
      </c>
      <c r="Q621" s="19">
        <v>1</v>
      </c>
      <c r="R621" s="19" t="s">
        <v>431</v>
      </c>
      <c r="S621" s="26">
        <v>0</v>
      </c>
      <c r="T621" s="28">
        <v>14</v>
      </c>
      <c r="U621" s="19" t="s">
        <v>1800</v>
      </c>
      <c r="V621" s="19">
        <v>116.17992400000031</v>
      </c>
      <c r="X621" t="b">
        <f>VLOOKUP(B621,'M10B Order'!B:F,5,FALSE)=W621</f>
        <v>1</v>
      </c>
    </row>
    <row r="622" spans="1:24" x14ac:dyDescent="0.2">
      <c r="A622" s="19">
        <v>587520128</v>
      </c>
      <c r="B622" s="19" t="s">
        <v>1886</v>
      </c>
      <c r="C622" s="19" t="s">
        <v>1887</v>
      </c>
      <c r="D622" s="19" t="s">
        <v>1830</v>
      </c>
      <c r="E622" s="19" t="s">
        <v>1778</v>
      </c>
      <c r="F622" s="19">
        <v>508804191</v>
      </c>
      <c r="G622" s="19">
        <v>8</v>
      </c>
      <c r="H622" s="19">
        <v>8</v>
      </c>
      <c r="I622" s="19">
        <v>472</v>
      </c>
      <c r="J622" s="25">
        <v>0.96398300000000003</v>
      </c>
      <c r="K622" s="26">
        <v>136.00019199999986</v>
      </c>
      <c r="L622" s="26">
        <v>844</v>
      </c>
      <c r="M622" s="26">
        <v>7</v>
      </c>
      <c r="N622" s="26">
        <v>6</v>
      </c>
      <c r="O622" s="27">
        <v>13</v>
      </c>
      <c r="P622" s="19">
        <v>12</v>
      </c>
      <c r="Q622" s="19">
        <v>1</v>
      </c>
      <c r="R622" s="19" t="s">
        <v>431</v>
      </c>
      <c r="S622" s="26">
        <v>0</v>
      </c>
      <c r="T622" s="28" t="s">
        <v>1933</v>
      </c>
      <c r="U622" s="19" t="s">
        <v>1816</v>
      </c>
      <c r="V622" s="19">
        <v>335.30154799999974</v>
      </c>
      <c r="X622" t="b">
        <f>VLOOKUP(B622,'M10B Order'!B:F,5,FALSE)=W622</f>
        <v>1</v>
      </c>
    </row>
    <row r="623" spans="1:24" x14ac:dyDescent="0.2">
      <c r="A623" s="19">
        <v>587520131</v>
      </c>
      <c r="B623" s="19" t="s">
        <v>1890</v>
      </c>
      <c r="C623" s="19" t="s">
        <v>1891</v>
      </c>
      <c r="D623" s="19" t="s">
        <v>1830</v>
      </c>
      <c r="E623" s="19" t="s">
        <v>1778</v>
      </c>
      <c r="F623" s="19">
        <v>508804191</v>
      </c>
      <c r="G623" s="19">
        <v>8</v>
      </c>
      <c r="H623" s="19">
        <v>8</v>
      </c>
      <c r="I623" s="19">
        <v>471</v>
      </c>
      <c r="J623" s="25">
        <v>0.95965999999999996</v>
      </c>
      <c r="K623" s="26">
        <v>152.00112000000016</v>
      </c>
      <c r="L623" s="26">
        <v>672</v>
      </c>
      <c r="M623" s="26">
        <v>7</v>
      </c>
      <c r="N623" s="26">
        <v>6</v>
      </c>
      <c r="O623" s="27">
        <v>13</v>
      </c>
      <c r="P623" s="19">
        <v>12</v>
      </c>
      <c r="Q623" s="19">
        <v>1</v>
      </c>
      <c r="R623" s="19" t="s">
        <v>431</v>
      </c>
      <c r="S623" s="26">
        <v>0</v>
      </c>
      <c r="T623" s="28" t="s">
        <v>1933</v>
      </c>
      <c r="U623" s="19" t="s">
        <v>431</v>
      </c>
      <c r="V623" s="19" t="s">
        <v>431</v>
      </c>
      <c r="X623" t="b">
        <f>VLOOKUP(B623,'M10B Order'!B:F,5,FALSE)=W623</f>
        <v>1</v>
      </c>
    </row>
    <row r="624" spans="1:24" x14ac:dyDescent="0.2">
      <c r="A624" s="19">
        <v>587520137</v>
      </c>
      <c r="B624" s="19" t="s">
        <v>1895</v>
      </c>
      <c r="C624" s="19" t="s">
        <v>1896</v>
      </c>
      <c r="D624" s="19" t="s">
        <v>1830</v>
      </c>
      <c r="E624" s="19" t="s">
        <v>1778</v>
      </c>
      <c r="F624" s="19">
        <v>508804191</v>
      </c>
      <c r="G624" s="19">
        <v>8</v>
      </c>
      <c r="H624" s="19">
        <v>8</v>
      </c>
      <c r="I624" s="19">
        <v>1247</v>
      </c>
      <c r="J624" s="25">
        <v>0.97754600000000003</v>
      </c>
      <c r="K624" s="26">
        <v>224.00110399999974</v>
      </c>
      <c r="L624" s="26">
        <v>1336</v>
      </c>
      <c r="M624" s="26">
        <v>7</v>
      </c>
      <c r="N624" s="26">
        <v>6</v>
      </c>
      <c r="O624" s="27">
        <v>13</v>
      </c>
      <c r="P624" s="19">
        <v>12</v>
      </c>
      <c r="Q624" s="19">
        <v>1</v>
      </c>
      <c r="R624" s="19" t="s">
        <v>431</v>
      </c>
      <c r="S624" s="26">
        <v>0</v>
      </c>
      <c r="T624" s="28">
        <v>15</v>
      </c>
      <c r="U624" s="19" t="s">
        <v>431</v>
      </c>
      <c r="V624" s="19" t="s">
        <v>431</v>
      </c>
      <c r="X624" t="b">
        <f>VLOOKUP(B624,'M10B Order'!B:F,5,FALSE)=W624</f>
        <v>1</v>
      </c>
    </row>
    <row r="625" spans="1:24" x14ac:dyDescent="0.2">
      <c r="A625" s="19">
        <v>587520136</v>
      </c>
      <c r="B625" s="19" t="s">
        <v>1901</v>
      </c>
      <c r="C625" s="19" t="s">
        <v>1902</v>
      </c>
      <c r="D625" s="19" t="s">
        <v>1830</v>
      </c>
      <c r="E625" s="19" t="s">
        <v>1778</v>
      </c>
      <c r="F625" s="19">
        <v>508804191</v>
      </c>
      <c r="G625" s="19">
        <v>8</v>
      </c>
      <c r="H625" s="19">
        <v>8</v>
      </c>
      <c r="I625" s="19">
        <v>99</v>
      </c>
      <c r="J625" s="25">
        <v>0.84848500000000004</v>
      </c>
      <c r="K625" s="26">
        <v>119.99987999999996</v>
      </c>
      <c r="L625" s="26">
        <v>440</v>
      </c>
      <c r="M625" s="26">
        <v>7</v>
      </c>
      <c r="N625" s="26">
        <v>6</v>
      </c>
      <c r="O625" s="27">
        <v>13</v>
      </c>
      <c r="P625" s="19">
        <v>12</v>
      </c>
      <c r="Q625" s="19">
        <v>1</v>
      </c>
      <c r="R625" s="19" t="s">
        <v>431</v>
      </c>
      <c r="S625" s="26">
        <v>0</v>
      </c>
      <c r="T625" s="28">
        <v>21</v>
      </c>
      <c r="U625" s="19" t="s">
        <v>431</v>
      </c>
      <c r="V625" s="19" t="s">
        <v>431</v>
      </c>
      <c r="X625" t="b">
        <f>VLOOKUP(B625,'M10B Order'!B:F,5,FALSE)=W625</f>
        <v>1</v>
      </c>
    </row>
    <row r="626" spans="1:24" x14ac:dyDescent="0.2">
      <c r="A626" s="19">
        <v>587520148</v>
      </c>
      <c r="B626" s="19" t="s">
        <v>1903</v>
      </c>
      <c r="C626" s="19" t="s">
        <v>1904</v>
      </c>
      <c r="D626" s="19" t="s">
        <v>1830</v>
      </c>
      <c r="E626" s="19" t="s">
        <v>1778</v>
      </c>
      <c r="F626" s="19">
        <v>508804191</v>
      </c>
      <c r="G626" s="19">
        <v>8</v>
      </c>
      <c r="H626" s="19">
        <v>8</v>
      </c>
      <c r="I626" s="19">
        <v>99</v>
      </c>
      <c r="J626" s="25">
        <v>0.85858599999999996</v>
      </c>
      <c r="K626" s="26">
        <v>111.99988800000003</v>
      </c>
      <c r="L626" s="26">
        <v>200</v>
      </c>
      <c r="M626" s="26">
        <v>7</v>
      </c>
      <c r="N626" s="26">
        <v>6</v>
      </c>
      <c r="O626" s="27">
        <v>13</v>
      </c>
      <c r="P626" s="19">
        <v>12</v>
      </c>
      <c r="Q626" s="19">
        <v>1</v>
      </c>
      <c r="R626" s="19" t="s">
        <v>431</v>
      </c>
      <c r="S626" s="26">
        <v>0</v>
      </c>
      <c r="T626" s="28" t="s">
        <v>1933</v>
      </c>
      <c r="U626" s="19" t="s">
        <v>431</v>
      </c>
      <c r="V626" s="19" t="s">
        <v>431</v>
      </c>
      <c r="X626" t="b">
        <f>VLOOKUP(B626,'M10B Order'!B:F,5,FALSE)=W626</f>
        <v>1</v>
      </c>
    </row>
    <row r="627" spans="1:24" x14ac:dyDescent="0.2">
      <c r="A627" s="19">
        <v>587520142</v>
      </c>
      <c r="B627" s="19" t="s">
        <v>1905</v>
      </c>
      <c r="C627" s="19" t="s">
        <v>1906</v>
      </c>
      <c r="D627" s="19" t="s">
        <v>1830</v>
      </c>
      <c r="E627" s="19" t="s">
        <v>1778</v>
      </c>
      <c r="F627" s="19">
        <v>508804191</v>
      </c>
      <c r="G627" s="19">
        <v>8</v>
      </c>
      <c r="H627" s="19">
        <v>8</v>
      </c>
      <c r="I627" s="19">
        <v>99</v>
      </c>
      <c r="J627" s="25">
        <v>0.85858599999999996</v>
      </c>
      <c r="K627" s="26">
        <v>111.99988800000003</v>
      </c>
      <c r="L627" s="26">
        <v>480</v>
      </c>
      <c r="M627" s="26">
        <v>7</v>
      </c>
      <c r="N627" s="26">
        <v>6</v>
      </c>
      <c r="O627" s="27">
        <v>13</v>
      </c>
      <c r="P627" s="19">
        <v>12</v>
      </c>
      <c r="Q627" s="19">
        <v>1</v>
      </c>
      <c r="R627" s="19" t="s">
        <v>431</v>
      </c>
      <c r="S627" s="26">
        <v>0</v>
      </c>
      <c r="T627" s="28">
        <v>39</v>
      </c>
      <c r="U627" s="19" t="s">
        <v>431</v>
      </c>
      <c r="V627" s="19" t="s">
        <v>431</v>
      </c>
      <c r="X627" t="b">
        <f>VLOOKUP(B627,'M10B Order'!B:F,5,FALSE)=W627</f>
        <v>1</v>
      </c>
    </row>
    <row r="628" spans="1:24" x14ac:dyDescent="0.2">
      <c r="A628" s="19">
        <v>587520149</v>
      </c>
      <c r="B628" s="19" t="s">
        <v>1907</v>
      </c>
      <c r="C628" s="19" t="s">
        <v>1908</v>
      </c>
      <c r="D628" s="19" t="s">
        <v>1830</v>
      </c>
      <c r="E628" s="19" t="s">
        <v>1778</v>
      </c>
      <c r="F628" s="19">
        <v>508804191</v>
      </c>
      <c r="G628" s="19">
        <v>8</v>
      </c>
      <c r="H628" s="19">
        <v>8</v>
      </c>
      <c r="I628" s="19">
        <v>100</v>
      </c>
      <c r="J628" s="25">
        <v>0.85</v>
      </c>
      <c r="K628" s="26">
        <v>120.00000000000001</v>
      </c>
      <c r="L628" s="26">
        <v>424</v>
      </c>
      <c r="M628" s="26">
        <v>7</v>
      </c>
      <c r="N628" s="26">
        <v>6</v>
      </c>
      <c r="O628" s="27">
        <v>13</v>
      </c>
      <c r="P628" s="19">
        <v>12</v>
      </c>
      <c r="Q628" s="19">
        <v>1</v>
      </c>
      <c r="R628" s="19" t="s">
        <v>431</v>
      </c>
      <c r="S628" s="26">
        <v>0</v>
      </c>
      <c r="T628" s="28" t="s">
        <v>1933</v>
      </c>
      <c r="U628" s="19" t="s">
        <v>431</v>
      </c>
      <c r="V628" s="19" t="s">
        <v>431</v>
      </c>
      <c r="X628" t="b">
        <f>VLOOKUP(B628,'M10B Order'!B:F,5,FALSE)=W628</f>
        <v>1</v>
      </c>
    </row>
    <row r="629" spans="1:24" x14ac:dyDescent="0.2">
      <c r="A629" s="19">
        <v>587520139</v>
      </c>
      <c r="B629" s="19" t="s">
        <v>1909</v>
      </c>
      <c r="C629" s="19" t="s">
        <v>1910</v>
      </c>
      <c r="D629" s="19" t="s">
        <v>1830</v>
      </c>
      <c r="E629" s="19" t="s">
        <v>1778</v>
      </c>
      <c r="F629" s="19">
        <v>508804191</v>
      </c>
      <c r="G629" s="19">
        <v>8</v>
      </c>
      <c r="H629" s="19">
        <v>8</v>
      </c>
      <c r="I629" s="19">
        <v>471</v>
      </c>
      <c r="J629" s="25">
        <v>0.96178300000000005</v>
      </c>
      <c r="K629" s="26">
        <v>144.0016559999998</v>
      </c>
      <c r="L629" s="26">
        <v>928</v>
      </c>
      <c r="M629" s="26">
        <v>7</v>
      </c>
      <c r="N629" s="26">
        <v>6</v>
      </c>
      <c r="O629" s="27">
        <v>13</v>
      </c>
      <c r="P629" s="19">
        <v>12</v>
      </c>
      <c r="Q629" s="19">
        <v>1</v>
      </c>
      <c r="R629" s="19" t="s">
        <v>431</v>
      </c>
      <c r="S629" s="26">
        <v>0</v>
      </c>
      <c r="T629" s="28">
        <v>14</v>
      </c>
      <c r="U629" s="19" t="s">
        <v>1792</v>
      </c>
      <c r="V629" s="19">
        <v>77.461507999999924</v>
      </c>
      <c r="X629" t="b">
        <f>VLOOKUP(B629,'M10B Order'!B:F,5,FALSE)=W629</f>
        <v>1</v>
      </c>
    </row>
    <row r="630" spans="1:24" x14ac:dyDescent="0.2">
      <c r="A630" s="19">
        <v>587520144</v>
      </c>
      <c r="B630" s="19" t="s">
        <v>1911</v>
      </c>
      <c r="C630" s="19" t="s">
        <v>1912</v>
      </c>
      <c r="D630" s="19" t="s">
        <v>1830</v>
      </c>
      <c r="E630" s="19" t="s">
        <v>1778</v>
      </c>
      <c r="F630" s="19">
        <v>508804191</v>
      </c>
      <c r="G630" s="19">
        <v>8</v>
      </c>
      <c r="H630" s="19">
        <v>8</v>
      </c>
      <c r="I630" s="19">
        <v>99</v>
      </c>
      <c r="J630" s="25">
        <v>0.83838400000000002</v>
      </c>
      <c r="K630" s="26">
        <v>127.99987199999998</v>
      </c>
      <c r="L630" s="26">
        <v>428</v>
      </c>
      <c r="M630" s="26">
        <v>7</v>
      </c>
      <c r="N630" s="26">
        <v>6</v>
      </c>
      <c r="O630" s="27">
        <v>13</v>
      </c>
      <c r="P630" s="19">
        <v>12</v>
      </c>
      <c r="Q630" s="19">
        <v>1</v>
      </c>
      <c r="R630" s="19" t="s">
        <v>431</v>
      </c>
      <c r="S630" s="26">
        <v>0</v>
      </c>
      <c r="T630" s="28">
        <v>29</v>
      </c>
      <c r="U630" s="19" t="s">
        <v>431</v>
      </c>
      <c r="V630" s="19" t="s">
        <v>431</v>
      </c>
      <c r="X630" t="b">
        <f>VLOOKUP(B630,'M10B Order'!B:F,5,FALSE)=W630</f>
        <v>1</v>
      </c>
    </row>
    <row r="631" spans="1:24" x14ac:dyDescent="0.2">
      <c r="A631" s="19">
        <v>587520163</v>
      </c>
      <c r="B631" s="19" t="s">
        <v>1913</v>
      </c>
      <c r="C631" s="19" t="s">
        <v>1914</v>
      </c>
      <c r="D631" s="19" t="s">
        <v>1830</v>
      </c>
      <c r="E631" s="19" t="s">
        <v>1778</v>
      </c>
      <c r="F631" s="19">
        <v>508804191</v>
      </c>
      <c r="G631" s="19">
        <v>8</v>
      </c>
      <c r="H631" s="19">
        <v>8</v>
      </c>
      <c r="I631" s="19">
        <v>213</v>
      </c>
      <c r="J631" s="25">
        <v>0.92488300000000001</v>
      </c>
      <c r="K631" s="26">
        <v>127.99936799999998</v>
      </c>
      <c r="L631" s="26">
        <v>21152</v>
      </c>
      <c r="M631" s="26">
        <v>7</v>
      </c>
      <c r="N631" s="26">
        <v>6</v>
      </c>
      <c r="O631" s="27">
        <v>13</v>
      </c>
      <c r="P631" s="19">
        <v>12</v>
      </c>
      <c r="Q631" s="19">
        <v>1</v>
      </c>
      <c r="R631" s="19" t="s">
        <v>431</v>
      </c>
      <c r="S631" s="26">
        <v>0</v>
      </c>
      <c r="T631" s="28" t="s">
        <v>1933</v>
      </c>
      <c r="U631" s="19" t="s">
        <v>1782</v>
      </c>
      <c r="V631" s="19">
        <v>590.85379199999784</v>
      </c>
      <c r="X631" t="b">
        <f>VLOOKUP(B631,'M10B Order'!B:F,5,FALSE)=W631</f>
        <v>1</v>
      </c>
    </row>
    <row r="632" spans="1:24" x14ac:dyDescent="0.2">
      <c r="A632" s="19">
        <v>587520150</v>
      </c>
      <c r="B632" s="19" t="s">
        <v>1915</v>
      </c>
      <c r="C632" s="19" t="s">
        <v>1916</v>
      </c>
      <c r="D632" s="19" t="s">
        <v>1830</v>
      </c>
      <c r="E632" s="19" t="s">
        <v>1778</v>
      </c>
      <c r="F632" s="19">
        <v>508804191</v>
      </c>
      <c r="G632" s="19">
        <v>8</v>
      </c>
      <c r="H632" s="19">
        <v>8</v>
      </c>
      <c r="I632" s="19">
        <v>99</v>
      </c>
      <c r="J632" s="25">
        <v>0.84848500000000004</v>
      </c>
      <c r="K632" s="26">
        <v>119.99987999999996</v>
      </c>
      <c r="L632" s="26">
        <v>328</v>
      </c>
      <c r="M632" s="26">
        <v>7</v>
      </c>
      <c r="N632" s="26">
        <v>6</v>
      </c>
      <c r="O632" s="27">
        <v>13</v>
      </c>
      <c r="P632" s="19">
        <v>12</v>
      </c>
      <c r="Q632" s="19">
        <v>1</v>
      </c>
      <c r="R632" s="19" t="s">
        <v>431</v>
      </c>
      <c r="S632" s="26">
        <v>0</v>
      </c>
      <c r="T632" s="28">
        <v>22</v>
      </c>
      <c r="U632" s="19" t="s">
        <v>431</v>
      </c>
      <c r="V632" s="19" t="s">
        <v>431</v>
      </c>
      <c r="X632" t="b">
        <f>VLOOKUP(B632,'M10B Order'!B:F,5,FALSE)=W632</f>
        <v>1</v>
      </c>
    </row>
    <row r="633" spans="1:24" x14ac:dyDescent="0.2">
      <c r="A633" s="19">
        <v>587520140</v>
      </c>
      <c r="B633" s="19" t="s">
        <v>1917</v>
      </c>
      <c r="C633" s="19" t="s">
        <v>1918</v>
      </c>
      <c r="D633" s="19" t="s">
        <v>1830</v>
      </c>
      <c r="E633" s="19" t="s">
        <v>1778</v>
      </c>
      <c r="F633" s="19">
        <v>508804191</v>
      </c>
      <c r="G633" s="19">
        <v>8</v>
      </c>
      <c r="H633" s="19">
        <v>8</v>
      </c>
      <c r="I633" s="19">
        <v>99</v>
      </c>
      <c r="J633" s="25">
        <v>0.85858599999999996</v>
      </c>
      <c r="K633" s="26">
        <v>111.99988800000003</v>
      </c>
      <c r="L633" s="26">
        <v>360</v>
      </c>
      <c r="M633" s="26">
        <v>7</v>
      </c>
      <c r="N633" s="26">
        <v>6</v>
      </c>
      <c r="O633" s="27">
        <v>13</v>
      </c>
      <c r="P633" s="19">
        <v>12</v>
      </c>
      <c r="Q633" s="19">
        <v>1</v>
      </c>
      <c r="R633" s="19" t="s">
        <v>431</v>
      </c>
      <c r="S633" s="26">
        <v>0</v>
      </c>
      <c r="T633" s="28">
        <v>21</v>
      </c>
      <c r="U633" s="19" t="s">
        <v>431</v>
      </c>
      <c r="V633" s="19" t="s">
        <v>431</v>
      </c>
      <c r="X633" t="b">
        <f>VLOOKUP(B633,'M10B Order'!B:F,5,FALSE)=W633</f>
        <v>1</v>
      </c>
    </row>
    <row r="634" spans="1:24" x14ac:dyDescent="0.2">
      <c r="A634" s="19">
        <v>587520151</v>
      </c>
      <c r="B634" s="19" t="s">
        <v>1919</v>
      </c>
      <c r="C634" s="19" t="s">
        <v>1920</v>
      </c>
      <c r="D634" s="19" t="s">
        <v>1830</v>
      </c>
      <c r="E634" s="19" t="s">
        <v>1778</v>
      </c>
      <c r="F634" s="19">
        <v>508804191</v>
      </c>
      <c r="G634" s="19">
        <v>8</v>
      </c>
      <c r="H634" s="19">
        <v>8</v>
      </c>
      <c r="I634" s="19">
        <v>100</v>
      </c>
      <c r="J634" s="25">
        <v>0.86</v>
      </c>
      <c r="K634" s="26">
        <v>112.00000000000001</v>
      </c>
      <c r="L634" s="26">
        <v>448</v>
      </c>
      <c r="M634" s="26">
        <v>7</v>
      </c>
      <c r="N634" s="26">
        <v>6</v>
      </c>
      <c r="O634" s="27">
        <v>13</v>
      </c>
      <c r="P634" s="19">
        <v>12</v>
      </c>
      <c r="Q634" s="19">
        <v>1</v>
      </c>
      <c r="R634" s="19" t="s">
        <v>431</v>
      </c>
      <c r="S634" s="26">
        <v>0</v>
      </c>
      <c r="T634" s="28">
        <v>34</v>
      </c>
      <c r="U634" s="19" t="s">
        <v>431</v>
      </c>
      <c r="V634" s="19" t="s">
        <v>431</v>
      </c>
      <c r="X634" t="b">
        <f>VLOOKUP(B634,'M10B Order'!B:F,5,FALSE)=W634</f>
        <v>1</v>
      </c>
    </row>
    <row r="635" spans="1:24" x14ac:dyDescent="0.2">
      <c r="A635" s="19">
        <v>587520146</v>
      </c>
      <c r="B635" s="19" t="s">
        <v>1923</v>
      </c>
      <c r="C635" s="19" t="s">
        <v>1924</v>
      </c>
      <c r="D635" s="19" t="s">
        <v>1830</v>
      </c>
      <c r="E635" s="19" t="s">
        <v>1778</v>
      </c>
      <c r="F635" s="19">
        <v>508804191</v>
      </c>
      <c r="G635" s="19">
        <v>8</v>
      </c>
      <c r="H635" s="19">
        <v>8</v>
      </c>
      <c r="I635" s="19">
        <v>99</v>
      </c>
      <c r="J635" s="25">
        <v>0.85858599999999996</v>
      </c>
      <c r="K635" s="26">
        <v>111.99988800000003</v>
      </c>
      <c r="L635" s="26">
        <v>204</v>
      </c>
      <c r="M635" s="26">
        <v>7</v>
      </c>
      <c r="N635" s="26">
        <v>6</v>
      </c>
      <c r="O635" s="27">
        <v>13</v>
      </c>
      <c r="P635" s="19">
        <v>12</v>
      </c>
      <c r="Q635" s="19">
        <v>1</v>
      </c>
      <c r="R635" s="19" t="s">
        <v>431</v>
      </c>
      <c r="S635" s="26">
        <v>0</v>
      </c>
      <c r="T635" s="28" t="s">
        <v>1933</v>
      </c>
      <c r="U635" s="19" t="s">
        <v>431</v>
      </c>
      <c r="V635" s="19" t="s">
        <v>431</v>
      </c>
      <c r="X635" t="b">
        <f>VLOOKUP(B635,'M10B Order'!B:F,5,FALSE)=W635</f>
        <v>1</v>
      </c>
    </row>
    <row r="636" spans="1:24" x14ac:dyDescent="0.2">
      <c r="A636" s="19">
        <v>587575338</v>
      </c>
      <c r="B636" s="19" t="s">
        <v>1927</v>
      </c>
      <c r="C636" s="19" t="s">
        <v>1928</v>
      </c>
      <c r="D636" s="19" t="s">
        <v>1830</v>
      </c>
      <c r="E636" s="19" t="s">
        <v>1778</v>
      </c>
      <c r="F636" s="19">
        <v>508804198</v>
      </c>
      <c r="G636" s="19">
        <v>8</v>
      </c>
      <c r="H636" s="19">
        <v>8</v>
      </c>
      <c r="I636" s="19">
        <v>100</v>
      </c>
      <c r="J636" s="25">
        <v>0.86</v>
      </c>
      <c r="K636" s="26">
        <v>112.00000000000001</v>
      </c>
      <c r="L636" s="26">
        <v>912</v>
      </c>
      <c r="M636" s="26">
        <v>7</v>
      </c>
      <c r="N636" s="26">
        <v>8</v>
      </c>
      <c r="O636" s="27">
        <v>15</v>
      </c>
      <c r="P636" s="19">
        <v>12</v>
      </c>
      <c r="Q636" s="19">
        <v>1</v>
      </c>
      <c r="R636" s="19" t="s">
        <v>431</v>
      </c>
      <c r="S636" s="26">
        <v>0</v>
      </c>
      <c r="T636" s="28">
        <v>27</v>
      </c>
      <c r="U636" s="19">
        <v>0</v>
      </c>
      <c r="V636" s="19" t="s">
        <v>431</v>
      </c>
      <c r="X636" t="b">
        <f>VLOOKUP(B636,'M10B Order'!B:F,5,FALSE)=W636</f>
        <v>1</v>
      </c>
    </row>
    <row r="637" spans="1:24" x14ac:dyDescent="0.2">
      <c r="A637" s="19">
        <v>587575885</v>
      </c>
      <c r="B637" s="19" t="s">
        <v>1929</v>
      </c>
      <c r="C637" s="19" t="s">
        <v>1930</v>
      </c>
      <c r="D637" s="19" t="s">
        <v>1830</v>
      </c>
      <c r="E637" s="19" t="s">
        <v>1778</v>
      </c>
      <c r="F637" s="19">
        <v>508804198</v>
      </c>
      <c r="G637" s="19">
        <v>8</v>
      </c>
      <c r="H637" s="19">
        <v>8</v>
      </c>
      <c r="I637" s="19">
        <v>100</v>
      </c>
      <c r="J637" s="25">
        <v>0.86</v>
      </c>
      <c r="K637" s="26">
        <v>112.00000000000001</v>
      </c>
      <c r="L637" s="26">
        <v>1160</v>
      </c>
      <c r="M637" s="26">
        <v>7</v>
      </c>
      <c r="N637" s="26">
        <v>8</v>
      </c>
      <c r="O637" s="27">
        <v>15</v>
      </c>
      <c r="P637" s="19">
        <v>12</v>
      </c>
      <c r="Q637" s="19">
        <v>1</v>
      </c>
      <c r="R637" s="19" t="s">
        <v>431</v>
      </c>
      <c r="S637" s="26">
        <v>0</v>
      </c>
      <c r="T637" s="28" t="s">
        <v>1933</v>
      </c>
      <c r="U637" s="19">
        <v>0</v>
      </c>
      <c r="V637" s="19" t="s">
        <v>431</v>
      </c>
      <c r="X637" t="b">
        <f>VLOOKUP(B637,'M10B Order'!B:F,5,FALSE)=W637</f>
        <v>1</v>
      </c>
    </row>
    <row r="638" spans="1:24" x14ac:dyDescent="0.2">
      <c r="A638" s="19">
        <v>587575530</v>
      </c>
      <c r="B638" s="19" t="s">
        <v>1931</v>
      </c>
      <c r="C638" s="19" t="s">
        <v>1932</v>
      </c>
      <c r="D638" s="19" t="s">
        <v>1830</v>
      </c>
      <c r="E638" s="19" t="s">
        <v>1778</v>
      </c>
      <c r="F638" s="19">
        <v>508804198</v>
      </c>
      <c r="G638" s="19">
        <v>8</v>
      </c>
      <c r="H638" s="19">
        <v>8</v>
      </c>
      <c r="I638" s="19">
        <v>1045</v>
      </c>
      <c r="J638" s="25">
        <v>0.98086099999999998</v>
      </c>
      <c r="K638" s="26">
        <v>160.00204000000014</v>
      </c>
      <c r="L638" s="26">
        <v>1568</v>
      </c>
      <c r="M638" s="26">
        <v>7</v>
      </c>
      <c r="N638" s="26">
        <v>8</v>
      </c>
      <c r="O638" s="27">
        <v>15</v>
      </c>
      <c r="P638" s="19">
        <v>12</v>
      </c>
      <c r="Q638" s="19">
        <v>1</v>
      </c>
      <c r="R638" s="19" t="s">
        <v>431</v>
      </c>
      <c r="S638" s="26">
        <v>0</v>
      </c>
      <c r="T638" s="28">
        <v>23</v>
      </c>
      <c r="U638" s="19">
        <v>0</v>
      </c>
      <c r="V638" s="19" t="s">
        <v>431</v>
      </c>
      <c r="X638" t="b">
        <f>VLOOKUP(B638,'M10B Order'!B:F,5,FALSE)=W638</f>
        <v>1</v>
      </c>
    </row>
    <row r="639" spans="1:24" x14ac:dyDescent="0.2">
      <c r="A639" s="19">
        <v>554919713</v>
      </c>
      <c r="B639" s="19" t="s">
        <v>288</v>
      </c>
      <c r="C639" s="19" t="s">
        <v>287</v>
      </c>
      <c r="D639" s="19" t="s">
        <v>365</v>
      </c>
      <c r="E639" s="19" t="s">
        <v>1777</v>
      </c>
      <c r="F639" s="19">
        <v>508804191</v>
      </c>
      <c r="G639" s="19">
        <v>8</v>
      </c>
      <c r="H639" s="19">
        <v>8</v>
      </c>
      <c r="I639" s="19">
        <v>1378</v>
      </c>
      <c r="J639" s="25">
        <v>0.95428199999999996</v>
      </c>
      <c r="K639" s="26">
        <v>503.99523200000039</v>
      </c>
      <c r="L639" s="26">
        <v>24208</v>
      </c>
      <c r="M639" s="26">
        <v>7</v>
      </c>
      <c r="N639" s="26">
        <v>6</v>
      </c>
      <c r="O639" s="27">
        <v>13</v>
      </c>
      <c r="P639" s="19">
        <v>22</v>
      </c>
      <c r="Q639" s="19">
        <v>4</v>
      </c>
      <c r="R639" s="19" t="s">
        <v>431</v>
      </c>
      <c r="S639" s="26">
        <v>0</v>
      </c>
      <c r="T639" s="28" t="s">
        <v>1933</v>
      </c>
      <c r="U639" s="19" t="s">
        <v>259</v>
      </c>
      <c r="V639" s="19">
        <v>0</v>
      </c>
      <c r="X639" t="b">
        <f>VLOOKUP(B639,'M10B Order'!B:F,5,FALSE)=W639</f>
        <v>1</v>
      </c>
    </row>
    <row r="640" spans="1:24" x14ac:dyDescent="0.2">
      <c r="A640" s="19">
        <v>554919715</v>
      </c>
      <c r="B640" s="19" t="s">
        <v>180</v>
      </c>
      <c r="C640" s="19" t="s">
        <v>179</v>
      </c>
      <c r="D640" s="19" t="s">
        <v>365</v>
      </c>
      <c r="E640" s="19" t="s">
        <v>1777</v>
      </c>
      <c r="F640" s="19">
        <v>508804191</v>
      </c>
      <c r="G640" s="19">
        <v>8</v>
      </c>
      <c r="H640" s="19">
        <v>8</v>
      </c>
      <c r="I640" s="19">
        <v>2844</v>
      </c>
      <c r="J640" s="25">
        <v>0.95358600000000004</v>
      </c>
      <c r="K640" s="26">
        <v>1056.0113279999989</v>
      </c>
      <c r="L640" s="26">
        <v>24208</v>
      </c>
      <c r="M640" s="26">
        <v>7</v>
      </c>
      <c r="N640" s="26">
        <v>6</v>
      </c>
      <c r="O640" s="27">
        <v>13</v>
      </c>
      <c r="P640" s="19">
        <v>22</v>
      </c>
      <c r="Q640" s="19">
        <v>4</v>
      </c>
      <c r="R640" s="19" t="s">
        <v>431</v>
      </c>
      <c r="S640" s="26">
        <v>0</v>
      </c>
      <c r="T640" s="28">
        <v>39</v>
      </c>
      <c r="U640" s="19" t="s">
        <v>280</v>
      </c>
      <c r="V640" s="19">
        <v>7794.0099999999993</v>
      </c>
      <c r="X640" t="b">
        <f>VLOOKUP(B640,'M10B Order'!B:F,5,FALSE)=W640</f>
        <v>1</v>
      </c>
    </row>
    <row r="641" spans="1:24" x14ac:dyDescent="0.2">
      <c r="A641" s="19">
        <v>554919720</v>
      </c>
      <c r="B641" s="19" t="s">
        <v>19</v>
      </c>
      <c r="C641" s="19" t="s">
        <v>18</v>
      </c>
      <c r="D641" s="19" t="s">
        <v>365</v>
      </c>
      <c r="E641" s="19" t="s">
        <v>1777</v>
      </c>
      <c r="F641" s="19">
        <v>508804191</v>
      </c>
      <c r="G641" s="19">
        <v>8</v>
      </c>
      <c r="H641" s="19">
        <v>8</v>
      </c>
      <c r="I641" s="19">
        <v>3046</v>
      </c>
      <c r="J641" s="25">
        <v>0.97570599999999996</v>
      </c>
      <c r="K641" s="26">
        <v>591.99619200000097</v>
      </c>
      <c r="L641" s="26">
        <v>29080</v>
      </c>
      <c r="M641" s="26">
        <v>7</v>
      </c>
      <c r="N641" s="26">
        <v>6</v>
      </c>
      <c r="O641" s="27">
        <v>13</v>
      </c>
      <c r="P641" s="19">
        <v>22</v>
      </c>
      <c r="Q641" s="19">
        <v>4</v>
      </c>
      <c r="R641" s="19" t="s">
        <v>431</v>
      </c>
      <c r="S641" s="26">
        <v>0</v>
      </c>
      <c r="T641" s="28" t="s">
        <v>1933</v>
      </c>
      <c r="U641" s="19" t="s">
        <v>431</v>
      </c>
      <c r="V641" s="19" t="s">
        <v>431</v>
      </c>
      <c r="X641" t="b">
        <f>VLOOKUP(B641,'M10B Order'!B:F,5,FALSE)=W641</f>
        <v>1</v>
      </c>
    </row>
    <row r="642" spans="1:24" x14ac:dyDescent="0.2">
      <c r="A642" s="19">
        <v>554919567</v>
      </c>
      <c r="B642" s="19" t="s">
        <v>324</v>
      </c>
      <c r="C642" s="19" t="s">
        <v>323</v>
      </c>
      <c r="D642" s="19" t="s">
        <v>365</v>
      </c>
      <c r="E642" s="19" t="s">
        <v>1777</v>
      </c>
      <c r="F642" s="19">
        <v>508804191</v>
      </c>
      <c r="G642" s="19">
        <v>8</v>
      </c>
      <c r="H642" s="19">
        <v>8</v>
      </c>
      <c r="I642" s="19">
        <v>1031</v>
      </c>
      <c r="J642" s="25">
        <v>0.93210499999999996</v>
      </c>
      <c r="K642" s="26">
        <v>559.99796000000038</v>
      </c>
      <c r="L642" s="26">
        <v>3480</v>
      </c>
      <c r="M642" s="26">
        <v>7</v>
      </c>
      <c r="N642" s="26">
        <v>6</v>
      </c>
      <c r="O642" s="27">
        <v>13</v>
      </c>
      <c r="P642" s="19">
        <v>22</v>
      </c>
      <c r="Q642" s="19">
        <v>4</v>
      </c>
      <c r="R642" s="19" t="s">
        <v>431</v>
      </c>
      <c r="S642" s="26">
        <v>0</v>
      </c>
      <c r="T642" s="28">
        <v>29</v>
      </c>
      <c r="U642" s="19" t="s">
        <v>782</v>
      </c>
      <c r="V642" s="19">
        <v>612.10255999999208</v>
      </c>
      <c r="X642" t="b">
        <f>VLOOKUP(B642,'M10B Order'!B:F,5,FALSE)=W642</f>
        <v>1</v>
      </c>
    </row>
    <row r="643" spans="1:24" x14ac:dyDescent="0.2">
      <c r="A643" s="19">
        <v>558137557</v>
      </c>
      <c r="B643" s="19" t="s">
        <v>497</v>
      </c>
      <c r="C643" s="19" t="s">
        <v>496</v>
      </c>
      <c r="D643" s="19" t="s">
        <v>365</v>
      </c>
      <c r="E643" s="19" t="s">
        <v>1777</v>
      </c>
      <c r="F643" s="19">
        <v>508804191</v>
      </c>
      <c r="G643" s="19">
        <v>8</v>
      </c>
      <c r="H643" s="19">
        <v>8</v>
      </c>
      <c r="I643" s="19">
        <v>3408</v>
      </c>
      <c r="J643" s="25">
        <v>0.96038699999999999</v>
      </c>
      <c r="K643" s="26">
        <v>1080.0088320000002</v>
      </c>
      <c r="L643" s="26">
        <v>48016</v>
      </c>
      <c r="M643" s="26">
        <v>7</v>
      </c>
      <c r="N643" s="26">
        <v>6</v>
      </c>
      <c r="O643" s="27">
        <v>13</v>
      </c>
      <c r="P643" s="19">
        <v>22</v>
      </c>
      <c r="Q643" s="19">
        <v>4</v>
      </c>
      <c r="R643" s="19" t="s">
        <v>431</v>
      </c>
      <c r="S643" s="26">
        <v>0</v>
      </c>
      <c r="T643" s="28" t="s">
        <v>1933</v>
      </c>
      <c r="U643" s="19" t="s">
        <v>431</v>
      </c>
      <c r="V643" s="19" t="s">
        <v>431</v>
      </c>
      <c r="X643" t="b">
        <f>VLOOKUP(B643,'M10B Order'!B:F,5,FALSE)=W643</f>
        <v>1</v>
      </c>
    </row>
    <row r="644" spans="1:24" x14ac:dyDescent="0.2">
      <c r="A644" s="19">
        <v>558137535</v>
      </c>
      <c r="B644" s="19" t="s">
        <v>499</v>
      </c>
      <c r="C644" s="19" t="s">
        <v>498</v>
      </c>
      <c r="D644" s="19" t="s">
        <v>365</v>
      </c>
      <c r="E644" s="19" t="s">
        <v>1777</v>
      </c>
      <c r="F644" s="19">
        <v>508804191</v>
      </c>
      <c r="G644" s="19">
        <v>8</v>
      </c>
      <c r="H644" s="19">
        <v>8</v>
      </c>
      <c r="I644" s="19">
        <v>1232</v>
      </c>
      <c r="J644" s="25">
        <v>0.95941600000000005</v>
      </c>
      <c r="K644" s="26">
        <v>399.99590399999954</v>
      </c>
      <c r="L644" s="26">
        <v>27584</v>
      </c>
      <c r="M644" s="26">
        <v>7</v>
      </c>
      <c r="N644" s="26">
        <v>6</v>
      </c>
      <c r="O644" s="27">
        <v>13</v>
      </c>
      <c r="P644" s="19">
        <v>22</v>
      </c>
      <c r="Q644" s="19">
        <v>4</v>
      </c>
      <c r="R644" s="19" t="s">
        <v>431</v>
      </c>
      <c r="S644" s="26">
        <v>0</v>
      </c>
      <c r="T644" s="28" t="s">
        <v>1933</v>
      </c>
      <c r="U644" s="19" t="s">
        <v>431</v>
      </c>
      <c r="V644" s="19" t="s">
        <v>431</v>
      </c>
      <c r="X644" t="b">
        <f>VLOOKUP(B644,'M10B Order'!B:F,5,FALSE)=W644</f>
        <v>1</v>
      </c>
    </row>
    <row r="645" spans="1:24" x14ac:dyDescent="0.2">
      <c r="A645" s="19">
        <v>558137568</v>
      </c>
      <c r="B645" s="19" t="s">
        <v>501</v>
      </c>
      <c r="C645" s="19" t="s">
        <v>500</v>
      </c>
      <c r="D645" s="19" t="s">
        <v>365</v>
      </c>
      <c r="E645" s="19" t="s">
        <v>1777</v>
      </c>
      <c r="F645" s="19">
        <v>508804191</v>
      </c>
      <c r="G645" s="19">
        <v>8</v>
      </c>
      <c r="H645" s="19">
        <v>8</v>
      </c>
      <c r="I645" s="19">
        <v>457</v>
      </c>
      <c r="J645" s="25">
        <v>0.93654300000000001</v>
      </c>
      <c r="K645" s="26">
        <v>231.99879199999995</v>
      </c>
      <c r="L645" s="26">
        <v>2856</v>
      </c>
      <c r="M645" s="26">
        <v>7</v>
      </c>
      <c r="N645" s="26">
        <v>6</v>
      </c>
      <c r="O645" s="27">
        <v>13</v>
      </c>
      <c r="P645" s="19">
        <v>22</v>
      </c>
      <c r="Q645" s="19">
        <v>4</v>
      </c>
      <c r="R645" s="19" t="s">
        <v>431</v>
      </c>
      <c r="S645" s="26">
        <v>0</v>
      </c>
      <c r="T645" s="28">
        <v>38</v>
      </c>
      <c r="U645" s="19" t="s">
        <v>431</v>
      </c>
      <c r="V645" s="19" t="s">
        <v>431</v>
      </c>
      <c r="X645" t="b">
        <f>VLOOKUP(B645,'M10B Order'!B:F,5,FALSE)=W645</f>
        <v>1</v>
      </c>
    </row>
    <row r="646" spans="1:24" x14ac:dyDescent="0.2">
      <c r="A646" s="19">
        <v>573626504</v>
      </c>
      <c r="B646" s="19" t="s">
        <v>777</v>
      </c>
      <c r="C646" s="19" t="s">
        <v>778</v>
      </c>
      <c r="D646" s="19" t="s">
        <v>365</v>
      </c>
      <c r="E646" s="19" t="s">
        <v>1777</v>
      </c>
      <c r="F646" s="19">
        <v>508804191</v>
      </c>
      <c r="G646" s="19">
        <v>8</v>
      </c>
      <c r="H646" s="19">
        <v>8</v>
      </c>
      <c r="I646" s="19">
        <v>1379</v>
      </c>
      <c r="J646" s="25">
        <v>0.89775199999999999</v>
      </c>
      <c r="K646" s="26">
        <v>1127.9999360000002</v>
      </c>
      <c r="L646" s="26">
        <v>0</v>
      </c>
      <c r="M646" s="26">
        <v>7</v>
      </c>
      <c r="N646" s="26">
        <v>6</v>
      </c>
      <c r="O646" s="27">
        <v>13</v>
      </c>
      <c r="P646" s="19">
        <v>22</v>
      </c>
      <c r="Q646" s="19">
        <v>4</v>
      </c>
      <c r="R646" s="19" t="s">
        <v>431</v>
      </c>
      <c r="S646" s="26">
        <v>0</v>
      </c>
      <c r="T646" s="28">
        <v>32</v>
      </c>
      <c r="U646" s="19" t="s">
        <v>723</v>
      </c>
      <c r="V646" s="19">
        <v>2005.9968709999994</v>
      </c>
      <c r="X646" t="b">
        <f>VLOOKUP(B646,'M10B Order'!B:F,5,FALSE)=W646</f>
        <v>1</v>
      </c>
    </row>
    <row r="647" spans="1:24" x14ac:dyDescent="0.2">
      <c r="A647" s="19">
        <v>573626505</v>
      </c>
      <c r="B647" s="19" t="s">
        <v>775</v>
      </c>
      <c r="C647" s="19" t="s">
        <v>776</v>
      </c>
      <c r="D647" s="19" t="s">
        <v>365</v>
      </c>
      <c r="E647" s="19" t="s">
        <v>1777</v>
      </c>
      <c r="F647" s="19">
        <v>508804191</v>
      </c>
      <c r="G647" s="19">
        <v>8</v>
      </c>
      <c r="H647" s="19">
        <v>8</v>
      </c>
      <c r="I647" s="19">
        <v>3405</v>
      </c>
      <c r="J647" s="25">
        <v>0.97562400000000005</v>
      </c>
      <c r="K647" s="26">
        <v>664.00223999999878</v>
      </c>
      <c r="L647" s="26">
        <v>55944</v>
      </c>
      <c r="M647" s="26">
        <v>7</v>
      </c>
      <c r="N647" s="26">
        <v>6</v>
      </c>
      <c r="O647" s="27">
        <v>13</v>
      </c>
      <c r="P647" s="19">
        <v>22</v>
      </c>
      <c r="Q647" s="19">
        <v>4</v>
      </c>
      <c r="R647" s="19" t="s">
        <v>431</v>
      </c>
      <c r="S647" s="26">
        <v>0</v>
      </c>
      <c r="T647" s="28" t="s">
        <v>1933</v>
      </c>
      <c r="U647" s="19" t="s">
        <v>648</v>
      </c>
      <c r="V647" s="19">
        <v>435.66148800000065</v>
      </c>
      <c r="X647" t="b">
        <f>VLOOKUP(B647,'M10B Order'!B:F,5,FALSE)=W647</f>
        <v>1</v>
      </c>
    </row>
    <row r="648" spans="1:24" x14ac:dyDescent="0.2">
      <c r="A648" s="19">
        <v>573626578</v>
      </c>
      <c r="B648" s="19" t="s">
        <v>773</v>
      </c>
      <c r="C648" s="19" t="s">
        <v>774</v>
      </c>
      <c r="D648" s="19" t="s">
        <v>365</v>
      </c>
      <c r="E648" s="19" t="s">
        <v>1777</v>
      </c>
      <c r="F648" s="19">
        <v>508804191</v>
      </c>
      <c r="G648" s="19">
        <v>8</v>
      </c>
      <c r="H648" s="19">
        <v>8</v>
      </c>
      <c r="I648" s="19">
        <v>1233</v>
      </c>
      <c r="J648" s="25">
        <v>0.98945700000000003</v>
      </c>
      <c r="K648" s="26">
        <v>103.9961519999997</v>
      </c>
      <c r="L648" s="26">
        <v>73968</v>
      </c>
      <c r="M648" s="26">
        <v>7</v>
      </c>
      <c r="N648" s="26">
        <v>6</v>
      </c>
      <c r="O648" s="27">
        <v>13</v>
      </c>
      <c r="P648" s="19">
        <v>22</v>
      </c>
      <c r="Q648" s="19">
        <v>4</v>
      </c>
      <c r="R648" s="19" t="s">
        <v>431</v>
      </c>
      <c r="S648" s="26">
        <v>0</v>
      </c>
      <c r="T648" s="28" t="s">
        <v>1933</v>
      </c>
      <c r="U648" s="19" t="s">
        <v>664</v>
      </c>
      <c r="V648" s="19">
        <v>0</v>
      </c>
      <c r="X648" t="b">
        <f>VLOOKUP(B648,'M10B Order'!B:F,5,FALSE)=W648</f>
        <v>1</v>
      </c>
    </row>
    <row r="649" spans="1:24" x14ac:dyDescent="0.2">
      <c r="A649" s="19">
        <v>554919909</v>
      </c>
      <c r="B649" s="19" t="s">
        <v>354</v>
      </c>
      <c r="C649" s="19" t="s">
        <v>353</v>
      </c>
      <c r="D649" s="19" t="s">
        <v>365</v>
      </c>
      <c r="E649" s="19" t="s">
        <v>1777</v>
      </c>
      <c r="F649" s="19">
        <v>508804191</v>
      </c>
      <c r="G649" s="19">
        <v>8</v>
      </c>
      <c r="H649" s="19">
        <v>8</v>
      </c>
      <c r="I649" s="19">
        <v>456</v>
      </c>
      <c r="J649" s="25">
        <v>0.91228100000000001</v>
      </c>
      <c r="K649" s="26">
        <v>319.99891199999996</v>
      </c>
      <c r="L649" s="26">
        <v>2608</v>
      </c>
      <c r="M649" s="26">
        <v>7</v>
      </c>
      <c r="N649" s="26">
        <v>6</v>
      </c>
      <c r="O649" s="27">
        <v>13</v>
      </c>
      <c r="P649" s="19">
        <v>22</v>
      </c>
      <c r="Q649" s="19">
        <v>4</v>
      </c>
      <c r="R649" s="19" t="s">
        <v>431</v>
      </c>
      <c r="S649" s="26">
        <v>0</v>
      </c>
      <c r="T649" s="28" t="s">
        <v>1933</v>
      </c>
      <c r="U649" s="19" t="s">
        <v>1039</v>
      </c>
      <c r="V649" s="19" t="s">
        <v>431</v>
      </c>
      <c r="X649" t="b">
        <f>VLOOKUP(B649,'M10B Order'!B:F,5,FALSE)=W649</f>
        <v>1</v>
      </c>
    </row>
    <row r="650" spans="1:24" x14ac:dyDescent="0.2">
      <c r="A650" s="19">
        <v>554919737</v>
      </c>
      <c r="B650" s="19" t="s">
        <v>348</v>
      </c>
      <c r="C650" s="19" t="s">
        <v>347</v>
      </c>
      <c r="D650" s="19" t="s">
        <v>365</v>
      </c>
      <c r="E650" s="19" t="s">
        <v>1777</v>
      </c>
      <c r="F650" s="19">
        <v>508804191</v>
      </c>
      <c r="G650" s="19">
        <v>8</v>
      </c>
      <c r="H650" s="19">
        <v>8</v>
      </c>
      <c r="I650" s="19">
        <v>1232</v>
      </c>
      <c r="J650" s="25">
        <v>0.98214299999999999</v>
      </c>
      <c r="K650" s="26">
        <v>175.99859200000012</v>
      </c>
      <c r="L650" s="26">
        <v>30728</v>
      </c>
      <c r="M650" s="26">
        <v>7</v>
      </c>
      <c r="N650" s="26">
        <v>6</v>
      </c>
      <c r="O650" s="27">
        <v>13</v>
      </c>
      <c r="P650" s="19">
        <v>22</v>
      </c>
      <c r="Q650" s="19">
        <v>4</v>
      </c>
      <c r="R650" s="19" t="s">
        <v>431</v>
      </c>
      <c r="S650" s="26">
        <v>0</v>
      </c>
      <c r="T650" s="28" t="s">
        <v>1933</v>
      </c>
      <c r="U650" s="19" t="s">
        <v>1039</v>
      </c>
      <c r="V650" s="19" t="s">
        <v>431</v>
      </c>
      <c r="X650" t="b">
        <f>VLOOKUP(B650,'M10B Order'!B:F,5,FALSE)=W650</f>
        <v>1</v>
      </c>
    </row>
    <row r="651" spans="1:24" x14ac:dyDescent="0.2">
      <c r="A651" s="19">
        <v>554919869</v>
      </c>
      <c r="B651" s="19" t="s">
        <v>338</v>
      </c>
      <c r="C651" s="19" t="s">
        <v>337</v>
      </c>
      <c r="D651" s="19" t="s">
        <v>365</v>
      </c>
      <c r="E651" s="19" t="s">
        <v>1777</v>
      </c>
      <c r="F651" s="19">
        <v>508804191</v>
      </c>
      <c r="G651" s="19">
        <v>8</v>
      </c>
      <c r="H651" s="19">
        <v>8</v>
      </c>
      <c r="I651" s="19">
        <v>458</v>
      </c>
      <c r="J651" s="25">
        <v>0.96724900000000003</v>
      </c>
      <c r="K651" s="26">
        <v>119.99966399999991</v>
      </c>
      <c r="L651" s="26">
        <v>8104</v>
      </c>
      <c r="M651" s="26">
        <v>7</v>
      </c>
      <c r="N651" s="26">
        <v>6</v>
      </c>
      <c r="O651" s="27">
        <v>13</v>
      </c>
      <c r="P651" s="19">
        <v>22</v>
      </c>
      <c r="Q651" s="19">
        <v>4</v>
      </c>
      <c r="R651" s="19" t="s">
        <v>431</v>
      </c>
      <c r="S651" s="26">
        <v>0</v>
      </c>
      <c r="T651" s="28" t="s">
        <v>1933</v>
      </c>
      <c r="U651" s="19" t="s">
        <v>1039</v>
      </c>
      <c r="V651" s="19" t="s">
        <v>431</v>
      </c>
      <c r="X651" t="b">
        <f>VLOOKUP(B651,'M10B Order'!B:F,5,FALSE)=W651</f>
        <v>1</v>
      </c>
    </row>
    <row r="652" spans="1:24" x14ac:dyDescent="0.2">
      <c r="A652" s="19">
        <v>554919693</v>
      </c>
      <c r="B652" s="19" t="s">
        <v>336</v>
      </c>
      <c r="C652" s="19" t="s">
        <v>335</v>
      </c>
      <c r="D652" s="19" t="s">
        <v>365</v>
      </c>
      <c r="E652" s="19" t="s">
        <v>1777</v>
      </c>
      <c r="F652" s="19">
        <v>508804191</v>
      </c>
      <c r="G652" s="19">
        <v>8</v>
      </c>
      <c r="H652" s="19">
        <v>8</v>
      </c>
      <c r="I652" s="19">
        <v>1232</v>
      </c>
      <c r="J652" s="25">
        <v>0.98457799999999995</v>
      </c>
      <c r="K652" s="26">
        <v>151.99923200000046</v>
      </c>
      <c r="L652" s="26">
        <v>25968</v>
      </c>
      <c r="M652" s="26">
        <v>7</v>
      </c>
      <c r="N652" s="26">
        <v>6</v>
      </c>
      <c r="O652" s="27">
        <v>13</v>
      </c>
      <c r="P652" s="19">
        <v>22</v>
      </c>
      <c r="Q652" s="19">
        <v>4</v>
      </c>
      <c r="R652" s="19" t="s">
        <v>431</v>
      </c>
      <c r="S652" s="26">
        <v>0</v>
      </c>
      <c r="T652" s="28" t="s">
        <v>1933</v>
      </c>
      <c r="U652" s="19" t="s">
        <v>1039</v>
      </c>
      <c r="V652" s="19" t="s">
        <v>431</v>
      </c>
      <c r="X652" t="b">
        <f>VLOOKUP(B652,'M10B Order'!B:F,5,FALSE)=W652</f>
        <v>1</v>
      </c>
    </row>
    <row r="653" spans="1:24" x14ac:dyDescent="0.2">
      <c r="A653" s="19">
        <v>554919731</v>
      </c>
      <c r="B653" s="19" t="s">
        <v>9</v>
      </c>
      <c r="C653" s="19" t="s">
        <v>8</v>
      </c>
      <c r="D653" s="19" t="s">
        <v>365</v>
      </c>
      <c r="E653" s="19" t="s">
        <v>1777</v>
      </c>
      <c r="F653" s="19">
        <v>508804191</v>
      </c>
      <c r="G653" s="19">
        <v>8</v>
      </c>
      <c r="H653" s="19">
        <v>8</v>
      </c>
      <c r="I653" s="19">
        <v>3405</v>
      </c>
      <c r="J653" s="25">
        <v>0.95506599999999997</v>
      </c>
      <c r="K653" s="26">
        <v>1224.0021600000009</v>
      </c>
      <c r="L653" s="26">
        <v>51592</v>
      </c>
      <c r="M653" s="26">
        <v>7</v>
      </c>
      <c r="N653" s="26">
        <v>6</v>
      </c>
      <c r="O653" s="27">
        <v>13</v>
      </c>
      <c r="P653" s="19">
        <v>22</v>
      </c>
      <c r="Q653" s="19">
        <v>4</v>
      </c>
      <c r="R653" s="19" t="s">
        <v>431</v>
      </c>
      <c r="S653" s="26">
        <v>0</v>
      </c>
      <c r="T653" s="28" t="s">
        <v>1933</v>
      </c>
      <c r="U653" s="19" t="s">
        <v>27</v>
      </c>
      <c r="V653" s="19">
        <v>2003.9950760000083</v>
      </c>
      <c r="X653" t="b">
        <f>VLOOKUP(B653,'M10B Order'!B:F,5,FALSE)=W653</f>
        <v>1</v>
      </c>
    </row>
    <row r="654" spans="1:24" x14ac:dyDescent="0.2">
      <c r="A654" s="19">
        <v>554919845</v>
      </c>
      <c r="B654" s="19" t="s">
        <v>346</v>
      </c>
      <c r="C654" s="19" t="s">
        <v>345</v>
      </c>
      <c r="D654" s="19" t="s">
        <v>365</v>
      </c>
      <c r="E654" s="19" t="s">
        <v>1777</v>
      </c>
      <c r="F654" s="19">
        <v>508804191</v>
      </c>
      <c r="G654" s="19">
        <v>8</v>
      </c>
      <c r="H654" s="19">
        <v>8</v>
      </c>
      <c r="I654" s="19">
        <v>458</v>
      </c>
      <c r="J654" s="25">
        <v>0.93668099999999999</v>
      </c>
      <c r="K654" s="26">
        <v>232.00081600000004</v>
      </c>
      <c r="L654" s="26">
        <v>1752</v>
      </c>
      <c r="M654" s="26">
        <v>7</v>
      </c>
      <c r="N654" s="26">
        <v>6</v>
      </c>
      <c r="O654" s="27">
        <v>13</v>
      </c>
      <c r="P654" s="19">
        <v>22</v>
      </c>
      <c r="Q654" s="19">
        <v>4</v>
      </c>
      <c r="R654" s="19" t="s">
        <v>431</v>
      </c>
      <c r="S654" s="26">
        <v>0</v>
      </c>
      <c r="T654" s="28">
        <v>33</v>
      </c>
      <c r="U654" s="19" t="s">
        <v>1039</v>
      </c>
      <c r="V654" s="19" t="s">
        <v>431</v>
      </c>
      <c r="X654" t="b">
        <f>VLOOKUP(B654,'M10B Order'!B:F,5,FALSE)=W654</f>
        <v>1</v>
      </c>
    </row>
    <row r="655" spans="1:24" x14ac:dyDescent="0.2">
      <c r="A655" s="19">
        <v>554919855</v>
      </c>
      <c r="B655" s="19" t="s">
        <v>113</v>
      </c>
      <c r="C655" s="19" t="s">
        <v>112</v>
      </c>
      <c r="D655" s="19" t="s">
        <v>365</v>
      </c>
      <c r="E655" s="19" t="s">
        <v>1777</v>
      </c>
      <c r="F655" s="19">
        <v>508804191</v>
      </c>
      <c r="G655" s="19">
        <v>8</v>
      </c>
      <c r="H655" s="19">
        <v>8</v>
      </c>
      <c r="I655" s="19">
        <v>2467</v>
      </c>
      <c r="J655" s="25">
        <v>0.97567899999999996</v>
      </c>
      <c r="K655" s="26">
        <v>479.99925600000074</v>
      </c>
      <c r="L655" s="26">
        <v>28088</v>
      </c>
      <c r="M655" s="26">
        <v>7</v>
      </c>
      <c r="N655" s="26">
        <v>6</v>
      </c>
      <c r="O655" s="27">
        <v>13</v>
      </c>
      <c r="P655" s="19">
        <v>22</v>
      </c>
      <c r="Q655" s="19">
        <v>4</v>
      </c>
      <c r="R655" s="19" t="s">
        <v>431</v>
      </c>
      <c r="S655" s="26">
        <v>0</v>
      </c>
      <c r="T655" s="28" t="s">
        <v>1933</v>
      </c>
      <c r="U655" s="19" t="s">
        <v>225</v>
      </c>
      <c r="V655" s="19" t="s">
        <v>431</v>
      </c>
      <c r="X655" t="b">
        <f>VLOOKUP(B655,'M10B Order'!B:F,5,FALSE)=W655</f>
        <v>1</v>
      </c>
    </row>
    <row r="656" spans="1:24" x14ac:dyDescent="0.2">
      <c r="A656" s="19">
        <v>554919856</v>
      </c>
      <c r="B656" s="19" t="s">
        <v>270</v>
      </c>
      <c r="C656" s="19" t="s">
        <v>269</v>
      </c>
      <c r="D656" s="19" t="s">
        <v>365</v>
      </c>
      <c r="E656" s="19" t="s">
        <v>1777</v>
      </c>
      <c r="F656" s="19">
        <v>508804191</v>
      </c>
      <c r="G656" s="19">
        <v>8</v>
      </c>
      <c r="H656" s="19">
        <v>8</v>
      </c>
      <c r="I656" s="19">
        <v>1770</v>
      </c>
      <c r="J656" s="25">
        <v>0.96497200000000005</v>
      </c>
      <c r="K656" s="26">
        <v>495.99647999999928</v>
      </c>
      <c r="L656" s="26">
        <v>36240</v>
      </c>
      <c r="M656" s="26">
        <v>7</v>
      </c>
      <c r="N656" s="26">
        <v>6</v>
      </c>
      <c r="O656" s="27">
        <v>13</v>
      </c>
      <c r="P656" s="19">
        <v>22</v>
      </c>
      <c r="Q656" s="19">
        <v>4</v>
      </c>
      <c r="R656" s="19" t="s">
        <v>431</v>
      </c>
      <c r="S656" s="26">
        <v>0</v>
      </c>
      <c r="T656" s="28" t="s">
        <v>1933</v>
      </c>
      <c r="U656" s="19" t="s">
        <v>202</v>
      </c>
      <c r="V656" s="19">
        <v>4323.3633679999957</v>
      </c>
      <c r="X656" t="b">
        <f>VLOOKUP(B656,'M10B Order'!B:F,5,FALSE)=W656</f>
        <v>1</v>
      </c>
    </row>
    <row r="657" spans="1:24" x14ac:dyDescent="0.2">
      <c r="A657" s="19">
        <v>554919836</v>
      </c>
      <c r="B657" s="19" t="s">
        <v>298</v>
      </c>
      <c r="C657" s="19" t="s">
        <v>297</v>
      </c>
      <c r="D657" s="19" t="s">
        <v>365</v>
      </c>
      <c r="E657" s="19" t="s">
        <v>1777</v>
      </c>
      <c r="F657" s="19">
        <v>508804191</v>
      </c>
      <c r="G657" s="19">
        <v>8</v>
      </c>
      <c r="H657" s="19">
        <v>8</v>
      </c>
      <c r="I657" s="19">
        <v>458</v>
      </c>
      <c r="J657" s="25">
        <v>0.80130999999999997</v>
      </c>
      <c r="K657" s="26">
        <v>728.00016000000016</v>
      </c>
      <c r="L657" s="26">
        <v>2208</v>
      </c>
      <c r="M657" s="26">
        <v>7</v>
      </c>
      <c r="N657" s="26">
        <v>6</v>
      </c>
      <c r="O657" s="27">
        <v>13</v>
      </c>
      <c r="P657" s="19">
        <v>22</v>
      </c>
      <c r="Q657" s="19">
        <v>4</v>
      </c>
      <c r="R657" s="19" t="s">
        <v>431</v>
      </c>
      <c r="S657" s="26">
        <v>0</v>
      </c>
      <c r="T657" s="28" t="s">
        <v>1933</v>
      </c>
      <c r="U657" s="19" t="s">
        <v>1039</v>
      </c>
      <c r="V657" s="19" t="s">
        <v>431</v>
      </c>
      <c r="X657" t="b">
        <f>VLOOKUP(B657,'M10B Order'!B:F,5,FALSE)=W657</f>
        <v>1</v>
      </c>
    </row>
    <row r="658" spans="1:24" x14ac:dyDescent="0.2">
      <c r="A658" s="19">
        <v>554919620</v>
      </c>
      <c r="B658" s="19" t="s">
        <v>105</v>
      </c>
      <c r="C658" s="19" t="s">
        <v>104</v>
      </c>
      <c r="D658" s="19" t="s">
        <v>365</v>
      </c>
      <c r="E658" s="19" t="s">
        <v>1777</v>
      </c>
      <c r="F658" s="19">
        <v>508804191</v>
      </c>
      <c r="G658" s="19">
        <v>8</v>
      </c>
      <c r="H658" s="19">
        <v>8</v>
      </c>
      <c r="I658" s="19">
        <v>3192</v>
      </c>
      <c r="J658" s="25">
        <v>0.97556399999999999</v>
      </c>
      <c r="K658" s="26">
        <v>623.99769600000036</v>
      </c>
      <c r="L658" s="26">
        <v>68920</v>
      </c>
      <c r="M658" s="26">
        <v>7</v>
      </c>
      <c r="N658" s="26">
        <v>6</v>
      </c>
      <c r="O658" s="27">
        <v>13</v>
      </c>
      <c r="P658" s="19">
        <v>22</v>
      </c>
      <c r="Q658" s="19">
        <v>4</v>
      </c>
      <c r="R658" s="19" t="s">
        <v>431</v>
      </c>
      <c r="S658" s="26">
        <v>0</v>
      </c>
      <c r="T658" s="28" t="s">
        <v>1933</v>
      </c>
      <c r="U658" s="19" t="s">
        <v>676</v>
      </c>
      <c r="V658" s="19">
        <v>0</v>
      </c>
      <c r="X658" t="b">
        <f>VLOOKUP(B658,'M10B Order'!B:F,5,FALSE)=W658</f>
        <v>1</v>
      </c>
    </row>
    <row r="659" spans="1:24" x14ac:dyDescent="0.2">
      <c r="A659" s="19">
        <v>554919707</v>
      </c>
      <c r="B659" s="19" t="s">
        <v>13</v>
      </c>
      <c r="C659" s="19" t="s">
        <v>12</v>
      </c>
      <c r="D659" s="19" t="s">
        <v>365</v>
      </c>
      <c r="E659" s="19" t="s">
        <v>1777</v>
      </c>
      <c r="F659" s="19">
        <v>508804191</v>
      </c>
      <c r="G659" s="19">
        <v>8</v>
      </c>
      <c r="H659" s="19">
        <v>8</v>
      </c>
      <c r="I659" s="19">
        <v>3407</v>
      </c>
      <c r="J659" s="25">
        <v>0.94834200000000002</v>
      </c>
      <c r="K659" s="26">
        <v>1407.9904479999996</v>
      </c>
      <c r="L659" s="26">
        <v>39064</v>
      </c>
      <c r="M659" s="26">
        <v>7</v>
      </c>
      <c r="N659" s="26">
        <v>6</v>
      </c>
      <c r="O659" s="27">
        <v>13</v>
      </c>
      <c r="P659" s="19">
        <v>22</v>
      </c>
      <c r="Q659" s="19">
        <v>4</v>
      </c>
      <c r="R659" s="19" t="s">
        <v>431</v>
      </c>
      <c r="S659" s="26">
        <v>0</v>
      </c>
      <c r="T659" s="28" t="s">
        <v>1933</v>
      </c>
      <c r="U659" s="19" t="s">
        <v>660</v>
      </c>
      <c r="V659" s="19">
        <v>0</v>
      </c>
      <c r="X659" t="b">
        <f>VLOOKUP(B659,'M10B Order'!B:F,5,FALSE)=W659</f>
        <v>1</v>
      </c>
    </row>
    <row r="660" spans="1:24" x14ac:dyDescent="0.2">
      <c r="A660" s="19">
        <v>554919860</v>
      </c>
      <c r="B660" s="19" t="s">
        <v>304</v>
      </c>
      <c r="C660" s="19" t="s">
        <v>303</v>
      </c>
      <c r="D660" s="19" t="s">
        <v>365</v>
      </c>
      <c r="E660" s="19" t="s">
        <v>1777</v>
      </c>
      <c r="F660" s="19">
        <v>508804191</v>
      </c>
      <c r="G660" s="19">
        <v>8</v>
      </c>
      <c r="H660" s="19">
        <v>8</v>
      </c>
      <c r="I660" s="19">
        <v>1234</v>
      </c>
      <c r="J660" s="25">
        <v>0.97974099999999997</v>
      </c>
      <c r="K660" s="26">
        <v>199.99684800000026</v>
      </c>
      <c r="L660" s="26">
        <v>34480</v>
      </c>
      <c r="M660" s="26">
        <v>7</v>
      </c>
      <c r="N660" s="26">
        <v>6</v>
      </c>
      <c r="O660" s="27">
        <v>13</v>
      </c>
      <c r="P660" s="19">
        <v>22</v>
      </c>
      <c r="Q660" s="19">
        <v>4</v>
      </c>
      <c r="R660" s="19" t="s">
        <v>431</v>
      </c>
      <c r="S660" s="26">
        <v>0</v>
      </c>
      <c r="T660" s="28" t="s">
        <v>1933</v>
      </c>
      <c r="U660" s="19" t="s">
        <v>431</v>
      </c>
      <c r="V660" s="19" t="s">
        <v>431</v>
      </c>
      <c r="X660" t="b">
        <f>VLOOKUP(B660,'M10B Order'!B:F,5,FALSE)=W660</f>
        <v>1</v>
      </c>
    </row>
    <row r="661" spans="1:24" x14ac:dyDescent="0.2">
      <c r="A661" s="19">
        <v>554919851</v>
      </c>
      <c r="B661" s="19" t="s">
        <v>15</v>
      </c>
      <c r="C661" s="19" t="s">
        <v>14</v>
      </c>
      <c r="D661" s="19" t="s">
        <v>365</v>
      </c>
      <c r="E661" s="19" t="s">
        <v>1777</v>
      </c>
      <c r="F661" s="19">
        <v>508804191</v>
      </c>
      <c r="G661" s="19">
        <v>8</v>
      </c>
      <c r="H661" s="19">
        <v>8</v>
      </c>
      <c r="I661" s="19">
        <v>2820</v>
      </c>
      <c r="J661" s="25">
        <v>0.958511</v>
      </c>
      <c r="K661" s="26">
        <v>935.99183999999991</v>
      </c>
      <c r="L661" s="26">
        <v>33800</v>
      </c>
      <c r="M661" s="26">
        <v>7</v>
      </c>
      <c r="N661" s="26">
        <v>6</v>
      </c>
      <c r="O661" s="27">
        <v>13</v>
      </c>
      <c r="P661" s="19">
        <v>22</v>
      </c>
      <c r="Q661" s="19">
        <v>4</v>
      </c>
      <c r="R661" s="19" t="s">
        <v>431</v>
      </c>
      <c r="S661" s="26">
        <v>0</v>
      </c>
      <c r="T661" s="28" t="s">
        <v>1933</v>
      </c>
      <c r="U661" s="19" t="s">
        <v>431</v>
      </c>
      <c r="V661" s="19" t="s">
        <v>431</v>
      </c>
      <c r="X661" t="b">
        <f>VLOOKUP(B661,'M10B Order'!B:F,5,FALSE)=W661</f>
        <v>1</v>
      </c>
    </row>
    <row r="662" spans="1:24" x14ac:dyDescent="0.2">
      <c r="A662" s="19">
        <v>554919790</v>
      </c>
      <c r="B662" s="19" t="s">
        <v>25</v>
      </c>
      <c r="C662" s="19" t="s">
        <v>24</v>
      </c>
      <c r="D662" s="19" t="s">
        <v>365</v>
      </c>
      <c r="E662" s="19" t="s">
        <v>1777</v>
      </c>
      <c r="F662" s="19">
        <v>508804191</v>
      </c>
      <c r="G662" s="19">
        <v>8</v>
      </c>
      <c r="H662" s="19">
        <v>8</v>
      </c>
      <c r="I662" s="19">
        <v>457</v>
      </c>
      <c r="J662" s="25">
        <v>0.97155400000000003</v>
      </c>
      <c r="K662" s="26">
        <v>103.9985759999999</v>
      </c>
      <c r="L662" s="26">
        <v>624</v>
      </c>
      <c r="M662" s="26">
        <v>7</v>
      </c>
      <c r="N662" s="26">
        <v>6</v>
      </c>
      <c r="O662" s="27">
        <v>13</v>
      </c>
      <c r="P662" s="19">
        <v>22</v>
      </c>
      <c r="Q662" s="19">
        <v>4</v>
      </c>
      <c r="R662" s="19" t="s">
        <v>431</v>
      </c>
      <c r="S662" s="26">
        <v>0</v>
      </c>
      <c r="T662" s="28">
        <v>0</v>
      </c>
      <c r="U662" s="19" t="s">
        <v>431</v>
      </c>
      <c r="V662" s="19" t="s">
        <v>431</v>
      </c>
      <c r="X662" t="b">
        <f>VLOOKUP(B662,'M10B Order'!B:F,5,FALSE)=W662</f>
        <v>1</v>
      </c>
    </row>
    <row r="663" spans="1:24" x14ac:dyDescent="0.2">
      <c r="A663" s="19">
        <v>554919781</v>
      </c>
      <c r="B663" s="19" t="s">
        <v>83</v>
      </c>
      <c r="C663" s="19" t="s">
        <v>82</v>
      </c>
      <c r="D663" s="19" t="s">
        <v>365</v>
      </c>
      <c r="E663" s="19" t="s">
        <v>1777</v>
      </c>
      <c r="F663" s="19">
        <v>508804191</v>
      </c>
      <c r="G663" s="19">
        <v>8</v>
      </c>
      <c r="H663" s="19">
        <v>8</v>
      </c>
      <c r="I663" s="19">
        <v>3408</v>
      </c>
      <c r="J663" s="25">
        <v>0.988263</v>
      </c>
      <c r="K663" s="26">
        <v>319.99756799999994</v>
      </c>
      <c r="L663" s="26">
        <v>74096</v>
      </c>
      <c r="M663" s="26">
        <v>7</v>
      </c>
      <c r="N663" s="26">
        <v>6</v>
      </c>
      <c r="O663" s="27">
        <v>13</v>
      </c>
      <c r="P663" s="19">
        <v>22</v>
      </c>
      <c r="Q663" s="19">
        <v>4</v>
      </c>
      <c r="R663" s="19" t="s">
        <v>431</v>
      </c>
      <c r="S663" s="26">
        <v>0</v>
      </c>
      <c r="T663" s="28" t="s">
        <v>1933</v>
      </c>
      <c r="U663" s="19" t="s">
        <v>686</v>
      </c>
      <c r="V663" s="19">
        <v>0</v>
      </c>
      <c r="X663" t="b">
        <f>VLOOKUP(B663,'M10B Order'!B:F,5,FALSE)=W663</f>
        <v>1</v>
      </c>
    </row>
    <row r="664" spans="1:24" x14ac:dyDescent="0.2">
      <c r="A664" s="19">
        <v>554919779</v>
      </c>
      <c r="B664" s="19" t="s">
        <v>129</v>
      </c>
      <c r="C664" s="19" t="s">
        <v>128</v>
      </c>
      <c r="D664" s="19" t="s">
        <v>365</v>
      </c>
      <c r="E664" s="19" t="s">
        <v>1777</v>
      </c>
      <c r="F664" s="19">
        <v>508804191</v>
      </c>
      <c r="G664" s="19">
        <v>8</v>
      </c>
      <c r="H664" s="19">
        <v>8</v>
      </c>
      <c r="I664" s="19">
        <v>3406</v>
      </c>
      <c r="J664" s="25">
        <v>0.97592500000000004</v>
      </c>
      <c r="K664" s="26">
        <v>655.99559999999883</v>
      </c>
      <c r="L664" s="26">
        <v>74104</v>
      </c>
      <c r="M664" s="26">
        <v>7</v>
      </c>
      <c r="N664" s="26">
        <v>6</v>
      </c>
      <c r="O664" s="27">
        <v>13</v>
      </c>
      <c r="P664" s="19">
        <v>22</v>
      </c>
      <c r="Q664" s="19">
        <v>4</v>
      </c>
      <c r="R664" s="19" t="s">
        <v>431</v>
      </c>
      <c r="S664" s="26">
        <v>0</v>
      </c>
      <c r="T664" s="28" t="s">
        <v>1933</v>
      </c>
      <c r="U664" s="19" t="s">
        <v>615</v>
      </c>
      <c r="V664" s="19">
        <v>254.89152000000092</v>
      </c>
      <c r="X664" t="b">
        <f>VLOOKUP(B664,'M10B Order'!B:F,5,FALSE)=W664</f>
        <v>1</v>
      </c>
    </row>
    <row r="665" spans="1:24" x14ac:dyDescent="0.2">
      <c r="A665" s="19">
        <v>554919768</v>
      </c>
      <c r="B665" s="19" t="s">
        <v>91</v>
      </c>
      <c r="C665" s="19" t="s">
        <v>90</v>
      </c>
      <c r="D665" s="19" t="s">
        <v>365</v>
      </c>
      <c r="E665" s="19" t="s">
        <v>1777</v>
      </c>
      <c r="F665" s="19">
        <v>508804191</v>
      </c>
      <c r="G665" s="19">
        <v>8</v>
      </c>
      <c r="H665" s="19">
        <v>8</v>
      </c>
      <c r="I665" s="19">
        <v>3406</v>
      </c>
      <c r="J665" s="25">
        <v>0.96946600000000005</v>
      </c>
      <c r="K665" s="26">
        <v>831.99043199999869</v>
      </c>
      <c r="L665" s="26">
        <v>68328</v>
      </c>
      <c r="M665" s="26">
        <v>7</v>
      </c>
      <c r="N665" s="26">
        <v>6</v>
      </c>
      <c r="O665" s="27">
        <v>13</v>
      </c>
      <c r="P665" s="19">
        <v>22</v>
      </c>
      <c r="Q665" s="19">
        <v>4</v>
      </c>
      <c r="R665" s="19" t="s">
        <v>431</v>
      </c>
      <c r="S665" s="26">
        <v>0</v>
      </c>
      <c r="T665" s="28" t="s">
        <v>1933</v>
      </c>
      <c r="U665" s="19" t="s">
        <v>668</v>
      </c>
      <c r="V665" s="19">
        <v>4635.5617040000006</v>
      </c>
      <c r="X665" t="b">
        <f>VLOOKUP(B665,'M10B Order'!B:F,5,FALSE)=W665</f>
        <v>1</v>
      </c>
    </row>
    <row r="666" spans="1:24" x14ac:dyDescent="0.2">
      <c r="A666" s="19">
        <v>554919765</v>
      </c>
      <c r="B666" s="19" t="s">
        <v>145</v>
      </c>
      <c r="C666" s="19" t="s">
        <v>144</v>
      </c>
      <c r="D666" s="19" t="s">
        <v>365</v>
      </c>
      <c r="E666" s="19" t="s">
        <v>1777</v>
      </c>
      <c r="F666" s="19">
        <v>508804191</v>
      </c>
      <c r="G666" s="19">
        <v>8</v>
      </c>
      <c r="H666" s="19">
        <v>8</v>
      </c>
      <c r="I666" s="19">
        <v>1815</v>
      </c>
      <c r="J666" s="25">
        <v>0.98567499999999997</v>
      </c>
      <c r="K666" s="26">
        <v>207.99900000000048</v>
      </c>
      <c r="L666" s="26">
        <v>33320</v>
      </c>
      <c r="M666" s="26">
        <v>7</v>
      </c>
      <c r="N666" s="26">
        <v>6</v>
      </c>
      <c r="O666" s="27">
        <v>13</v>
      </c>
      <c r="P666" s="19">
        <v>22</v>
      </c>
      <c r="Q666" s="19">
        <v>4</v>
      </c>
      <c r="R666" s="19" t="s">
        <v>431</v>
      </c>
      <c r="S666" s="26">
        <v>0</v>
      </c>
      <c r="T666" s="28" t="s">
        <v>1933</v>
      </c>
      <c r="U666" s="19" t="s">
        <v>284</v>
      </c>
      <c r="V666" s="19">
        <v>0</v>
      </c>
      <c r="X666" t="b">
        <f>VLOOKUP(B666,'M10B Order'!B:F,5,FALSE)=W666</f>
        <v>1</v>
      </c>
    </row>
    <row r="667" spans="1:24" x14ac:dyDescent="0.2">
      <c r="A667" s="19">
        <v>554919784</v>
      </c>
      <c r="B667" s="19" t="s">
        <v>257</v>
      </c>
      <c r="C667" s="19" t="s">
        <v>256</v>
      </c>
      <c r="D667" s="19" t="s">
        <v>365</v>
      </c>
      <c r="E667" s="19" t="s">
        <v>1777</v>
      </c>
      <c r="F667" s="19">
        <v>508804191</v>
      </c>
      <c r="G667" s="19">
        <v>8</v>
      </c>
      <c r="H667" s="19">
        <v>8</v>
      </c>
      <c r="I667" s="19">
        <v>3193</v>
      </c>
      <c r="J667" s="25">
        <v>0.989039</v>
      </c>
      <c r="K667" s="26">
        <v>279.98778399999998</v>
      </c>
      <c r="L667" s="26">
        <v>35096</v>
      </c>
      <c r="M667" s="26">
        <v>7</v>
      </c>
      <c r="N667" s="26">
        <v>6</v>
      </c>
      <c r="O667" s="27">
        <v>13</v>
      </c>
      <c r="P667" s="19">
        <v>22</v>
      </c>
      <c r="Q667" s="19">
        <v>4</v>
      </c>
      <c r="R667" s="19" t="s">
        <v>431</v>
      </c>
      <c r="S667" s="26">
        <v>0</v>
      </c>
      <c r="T667" s="28" t="s">
        <v>1933</v>
      </c>
      <c r="U667" s="19" t="s">
        <v>314</v>
      </c>
      <c r="V667" s="19">
        <v>0</v>
      </c>
      <c r="X667" t="b">
        <f>VLOOKUP(B667,'M10B Order'!B:F,5,FALSE)=W667</f>
        <v>1</v>
      </c>
    </row>
    <row r="668" spans="1:24" x14ac:dyDescent="0.2">
      <c r="A668" s="19">
        <v>554919776</v>
      </c>
      <c r="B668" s="19" t="s">
        <v>149</v>
      </c>
      <c r="C668" s="19" t="s">
        <v>148</v>
      </c>
      <c r="D668" s="19" t="s">
        <v>365</v>
      </c>
      <c r="E668" s="19" t="s">
        <v>1777</v>
      </c>
      <c r="F668" s="19">
        <v>508804191</v>
      </c>
      <c r="G668" s="19">
        <v>8</v>
      </c>
      <c r="H668" s="19">
        <v>8</v>
      </c>
      <c r="I668" s="19">
        <v>457</v>
      </c>
      <c r="J668" s="25">
        <v>0.96717699999999995</v>
      </c>
      <c r="K668" s="26">
        <v>120.00088800000017</v>
      </c>
      <c r="L668" s="26">
        <v>56</v>
      </c>
      <c r="M668" s="26">
        <v>7</v>
      </c>
      <c r="N668" s="26">
        <v>6</v>
      </c>
      <c r="O668" s="27">
        <v>13</v>
      </c>
      <c r="P668" s="19">
        <v>22</v>
      </c>
      <c r="Q668" s="19">
        <v>4</v>
      </c>
      <c r="R668" s="19" t="s">
        <v>431</v>
      </c>
      <c r="S668" s="26">
        <v>0</v>
      </c>
      <c r="T668" s="28">
        <v>0</v>
      </c>
      <c r="U668" s="19" t="s">
        <v>296</v>
      </c>
      <c r="V668" s="19">
        <v>641.2783720000009</v>
      </c>
      <c r="X668" t="b">
        <f>VLOOKUP(B668,'M10B Order'!B:F,5,FALSE)=W668</f>
        <v>1</v>
      </c>
    </row>
    <row r="669" spans="1:24" x14ac:dyDescent="0.2">
      <c r="A669" s="19">
        <v>554919788</v>
      </c>
      <c r="B669" s="19" t="s">
        <v>95</v>
      </c>
      <c r="C669" s="19" t="s">
        <v>94</v>
      </c>
      <c r="D669" s="19" t="s">
        <v>365</v>
      </c>
      <c r="E669" s="19" t="s">
        <v>1777</v>
      </c>
      <c r="F669" s="19">
        <v>508804191</v>
      </c>
      <c r="G669" s="19">
        <v>8</v>
      </c>
      <c r="H669" s="19">
        <v>8</v>
      </c>
      <c r="I669" s="19">
        <v>3406</v>
      </c>
      <c r="J669" s="25">
        <v>0.96418099999999995</v>
      </c>
      <c r="K669" s="26">
        <v>975.99611200000118</v>
      </c>
      <c r="L669" s="26">
        <v>56336</v>
      </c>
      <c r="M669" s="26">
        <v>7</v>
      </c>
      <c r="N669" s="26">
        <v>6</v>
      </c>
      <c r="O669" s="27">
        <v>13</v>
      </c>
      <c r="P669" s="19">
        <v>22</v>
      </c>
      <c r="Q669" s="19">
        <v>4</v>
      </c>
      <c r="R669" s="19" t="s">
        <v>431</v>
      </c>
      <c r="S669" s="26">
        <v>0</v>
      </c>
      <c r="T669" s="28" t="s">
        <v>1933</v>
      </c>
      <c r="U669" s="19" t="s">
        <v>672</v>
      </c>
      <c r="V669" s="19">
        <v>3130.8054720000009</v>
      </c>
      <c r="X669" t="b">
        <f>VLOOKUP(B669,'M10B Order'!B:F,5,FALSE)=W669</f>
        <v>1</v>
      </c>
    </row>
    <row r="670" spans="1:24" x14ac:dyDescent="0.2">
      <c r="A670" s="19">
        <v>554919793</v>
      </c>
      <c r="B670" s="19" t="s">
        <v>97</v>
      </c>
      <c r="C670" s="19" t="s">
        <v>96</v>
      </c>
      <c r="D670" s="19" t="s">
        <v>365</v>
      </c>
      <c r="E670" s="19" t="s">
        <v>1777</v>
      </c>
      <c r="F670" s="19">
        <v>508804191</v>
      </c>
      <c r="G670" s="19">
        <v>8</v>
      </c>
      <c r="H670" s="19">
        <v>8</v>
      </c>
      <c r="I670" s="19">
        <v>3406</v>
      </c>
      <c r="J670" s="25">
        <v>0.97122699999999995</v>
      </c>
      <c r="K670" s="26">
        <v>784.00670400000138</v>
      </c>
      <c r="L670" s="26">
        <v>49824</v>
      </c>
      <c r="M670" s="26">
        <v>7</v>
      </c>
      <c r="N670" s="26">
        <v>6</v>
      </c>
      <c r="O670" s="27">
        <v>13</v>
      </c>
      <c r="P670" s="19">
        <v>22</v>
      </c>
      <c r="Q670" s="19">
        <v>4</v>
      </c>
      <c r="R670" s="19" t="s">
        <v>431</v>
      </c>
      <c r="S670" s="26">
        <v>0</v>
      </c>
      <c r="T670" s="28" t="s">
        <v>1933</v>
      </c>
      <c r="U670" s="19" t="s">
        <v>656</v>
      </c>
      <c r="V670" s="19">
        <v>0</v>
      </c>
      <c r="X670" t="b">
        <f>VLOOKUP(B670,'M10B Order'!B:F,5,FALSE)=W670</f>
        <v>1</v>
      </c>
    </row>
    <row r="671" spans="1:24" x14ac:dyDescent="0.2">
      <c r="A671" s="19">
        <v>554919798</v>
      </c>
      <c r="B671" s="19" t="s">
        <v>161</v>
      </c>
      <c r="C671" s="19" t="s">
        <v>160</v>
      </c>
      <c r="D671" s="19" t="s">
        <v>365</v>
      </c>
      <c r="E671" s="19" t="s">
        <v>1777</v>
      </c>
      <c r="F671" s="19">
        <v>508804191</v>
      </c>
      <c r="G671" s="19">
        <v>8</v>
      </c>
      <c r="H671" s="19">
        <v>8</v>
      </c>
      <c r="I671" s="19">
        <v>1378</v>
      </c>
      <c r="J671" s="25">
        <v>0.95428199999999996</v>
      </c>
      <c r="K671" s="26">
        <v>503.99523200000039</v>
      </c>
      <c r="L671" s="26">
        <v>32656</v>
      </c>
      <c r="M671" s="26">
        <v>7</v>
      </c>
      <c r="N671" s="26">
        <v>6</v>
      </c>
      <c r="O671" s="27">
        <v>13</v>
      </c>
      <c r="P671" s="19">
        <v>22</v>
      </c>
      <c r="Q671" s="19">
        <v>4</v>
      </c>
      <c r="R671" s="19" t="s">
        <v>431</v>
      </c>
      <c r="S671" s="26">
        <v>0</v>
      </c>
      <c r="T671" s="28" t="s">
        <v>1933</v>
      </c>
      <c r="U671" s="19" t="s">
        <v>188</v>
      </c>
      <c r="V671" s="19">
        <v>0</v>
      </c>
      <c r="X671" t="b">
        <f>VLOOKUP(B671,'M10B Order'!B:F,5,FALSE)=W671</f>
        <v>1</v>
      </c>
    </row>
    <row r="672" spans="1:24" x14ac:dyDescent="0.2">
      <c r="A672" s="19">
        <v>554919843</v>
      </c>
      <c r="B672" s="19" t="s">
        <v>178</v>
      </c>
      <c r="C672" s="19" t="s">
        <v>177</v>
      </c>
      <c r="D672" s="19" t="s">
        <v>365</v>
      </c>
      <c r="E672" s="19" t="s">
        <v>1777</v>
      </c>
      <c r="F672" s="19">
        <v>508804191</v>
      </c>
      <c r="G672" s="19">
        <v>8</v>
      </c>
      <c r="H672" s="19">
        <v>8</v>
      </c>
      <c r="I672" s="19">
        <v>1031</v>
      </c>
      <c r="J672" s="25">
        <v>0.95247300000000001</v>
      </c>
      <c r="K672" s="26">
        <v>392.0026959999999</v>
      </c>
      <c r="L672" s="26">
        <v>0</v>
      </c>
      <c r="M672" s="26">
        <v>7</v>
      </c>
      <c r="N672" s="26">
        <v>6</v>
      </c>
      <c r="O672" s="27">
        <v>13</v>
      </c>
      <c r="P672" s="19">
        <v>22</v>
      </c>
      <c r="Q672" s="19">
        <v>4</v>
      </c>
      <c r="R672" s="19" t="s">
        <v>431</v>
      </c>
      <c r="S672" s="26">
        <v>0</v>
      </c>
      <c r="T672" s="28">
        <v>27</v>
      </c>
      <c r="U672" s="19" t="s">
        <v>431</v>
      </c>
      <c r="V672" s="19" t="s">
        <v>431</v>
      </c>
      <c r="X672" t="b">
        <f>VLOOKUP(B672,'M10B Order'!B:F,5,FALSE)=W672</f>
        <v>1</v>
      </c>
    </row>
    <row r="673" spans="1:24" x14ac:dyDescent="0.2">
      <c r="A673" s="19">
        <v>554919795</v>
      </c>
      <c r="B673" s="19" t="s">
        <v>89</v>
      </c>
      <c r="C673" s="19" t="s">
        <v>88</v>
      </c>
      <c r="D673" s="19" t="s">
        <v>365</v>
      </c>
      <c r="E673" s="19" t="s">
        <v>1777</v>
      </c>
      <c r="F673" s="19">
        <v>508804191</v>
      </c>
      <c r="G673" s="19">
        <v>8</v>
      </c>
      <c r="H673" s="19">
        <v>8</v>
      </c>
      <c r="I673" s="19">
        <v>3406</v>
      </c>
      <c r="J673" s="25">
        <v>0.93775699999999995</v>
      </c>
      <c r="K673" s="26">
        <v>1695.9972640000012</v>
      </c>
      <c r="L673" s="26">
        <v>26296</v>
      </c>
      <c r="M673" s="26">
        <v>7</v>
      </c>
      <c r="N673" s="26">
        <v>6</v>
      </c>
      <c r="O673" s="27">
        <v>13</v>
      </c>
      <c r="P673" s="19">
        <v>22</v>
      </c>
      <c r="Q673" s="19">
        <v>4</v>
      </c>
      <c r="R673" s="19" t="s">
        <v>431</v>
      </c>
      <c r="S673" s="26">
        <v>0</v>
      </c>
      <c r="T673" s="28">
        <v>28</v>
      </c>
      <c r="U673" s="19" t="s">
        <v>624</v>
      </c>
      <c r="V673" s="19">
        <v>3742.7936640000016</v>
      </c>
      <c r="X673" t="b">
        <f>VLOOKUP(B673,'M10B Order'!B:F,5,FALSE)=W673</f>
        <v>1</v>
      </c>
    </row>
    <row r="674" spans="1:24" x14ac:dyDescent="0.2">
      <c r="A674" s="19">
        <v>554919801</v>
      </c>
      <c r="B674" s="19" t="s">
        <v>153</v>
      </c>
      <c r="C674" s="19" t="s">
        <v>152</v>
      </c>
      <c r="D674" s="19" t="s">
        <v>365</v>
      </c>
      <c r="E674" s="19" t="s">
        <v>1777</v>
      </c>
      <c r="F674" s="19">
        <v>508804191</v>
      </c>
      <c r="G674" s="19">
        <v>8</v>
      </c>
      <c r="H674" s="19">
        <v>8</v>
      </c>
      <c r="I674" s="19">
        <v>1378</v>
      </c>
      <c r="J674" s="25">
        <v>0.95718400000000003</v>
      </c>
      <c r="K674" s="26">
        <v>472.00358399999959</v>
      </c>
      <c r="L674" s="26">
        <v>32880</v>
      </c>
      <c r="M674" s="26">
        <v>7</v>
      </c>
      <c r="N674" s="26">
        <v>6</v>
      </c>
      <c r="O674" s="27">
        <v>13</v>
      </c>
      <c r="P674" s="19">
        <v>22</v>
      </c>
      <c r="Q674" s="19">
        <v>4</v>
      </c>
      <c r="R674" s="19" t="s">
        <v>431</v>
      </c>
      <c r="S674" s="26">
        <v>0</v>
      </c>
      <c r="T674" s="28" t="s">
        <v>1933</v>
      </c>
      <c r="U674" s="19" t="s">
        <v>431</v>
      </c>
      <c r="V674" s="19" t="s">
        <v>431</v>
      </c>
      <c r="X674" t="b">
        <f>VLOOKUP(B674,'M10B Order'!B:F,5,FALSE)=W674</f>
        <v>1</v>
      </c>
    </row>
    <row r="675" spans="1:24" x14ac:dyDescent="0.2">
      <c r="A675" s="19">
        <v>554919803</v>
      </c>
      <c r="B675" s="19" t="s">
        <v>356</v>
      </c>
      <c r="C675" s="19" t="s">
        <v>355</v>
      </c>
      <c r="D675" s="19" t="s">
        <v>365</v>
      </c>
      <c r="E675" s="19" t="s">
        <v>1777</v>
      </c>
      <c r="F675" s="19">
        <v>508804191</v>
      </c>
      <c r="G675" s="19">
        <v>8</v>
      </c>
      <c r="H675" s="19">
        <v>8</v>
      </c>
      <c r="I675" s="19">
        <v>1233</v>
      </c>
      <c r="J675" s="25">
        <v>0.96269300000000002</v>
      </c>
      <c r="K675" s="26">
        <v>367.99624799999981</v>
      </c>
      <c r="L675" s="26">
        <v>26168</v>
      </c>
      <c r="M675" s="26">
        <v>7</v>
      </c>
      <c r="N675" s="26">
        <v>6</v>
      </c>
      <c r="O675" s="27">
        <v>13</v>
      </c>
      <c r="P675" s="19">
        <v>22</v>
      </c>
      <c r="Q675" s="19">
        <v>4</v>
      </c>
      <c r="R675" s="19" t="s">
        <v>431</v>
      </c>
      <c r="S675" s="26">
        <v>0</v>
      </c>
      <c r="T675" s="28" t="s">
        <v>1933</v>
      </c>
      <c r="U675" s="19" t="s">
        <v>431</v>
      </c>
      <c r="V675" s="19" t="s">
        <v>431</v>
      </c>
      <c r="X675" t="b">
        <f>VLOOKUP(B675,'M10B Order'!B:F,5,FALSE)=W675</f>
        <v>1</v>
      </c>
    </row>
    <row r="676" spans="1:24" x14ac:dyDescent="0.2">
      <c r="A676" s="19">
        <v>554919918</v>
      </c>
      <c r="B676" s="19" t="s">
        <v>241</v>
      </c>
      <c r="C676" s="19" t="s">
        <v>240</v>
      </c>
      <c r="D676" s="19" t="s">
        <v>365</v>
      </c>
      <c r="E676" s="19" t="s">
        <v>1777</v>
      </c>
      <c r="F676" s="19">
        <v>508804191</v>
      </c>
      <c r="G676" s="19">
        <v>8</v>
      </c>
      <c r="H676" s="19">
        <v>8</v>
      </c>
      <c r="I676" s="19">
        <v>456</v>
      </c>
      <c r="J676" s="25">
        <v>0.95175399999999999</v>
      </c>
      <c r="K676" s="26">
        <v>176.00140800000003</v>
      </c>
      <c r="L676" s="26">
        <v>2824</v>
      </c>
      <c r="M676" s="26">
        <v>7</v>
      </c>
      <c r="N676" s="26">
        <v>6</v>
      </c>
      <c r="O676" s="27">
        <v>13</v>
      </c>
      <c r="P676" s="19">
        <v>22</v>
      </c>
      <c r="Q676" s="19">
        <v>4</v>
      </c>
      <c r="R676" s="19" t="s">
        <v>431</v>
      </c>
      <c r="S676" s="26">
        <v>0</v>
      </c>
      <c r="T676" s="28">
        <v>37</v>
      </c>
      <c r="U676" s="19" t="s">
        <v>431</v>
      </c>
      <c r="V676" s="19" t="s">
        <v>431</v>
      </c>
      <c r="X676" t="b">
        <f>VLOOKUP(B676,'M10B Order'!B:F,5,FALSE)=W676</f>
        <v>1</v>
      </c>
    </row>
    <row r="677" spans="1:24" x14ac:dyDescent="0.2">
      <c r="A677" s="19">
        <v>554919729</v>
      </c>
      <c r="B677" s="19" t="s">
        <v>274</v>
      </c>
      <c r="C677" s="19" t="s">
        <v>273</v>
      </c>
      <c r="D677" s="19" t="s">
        <v>365</v>
      </c>
      <c r="E677" s="19" t="s">
        <v>1777</v>
      </c>
      <c r="F677" s="19">
        <v>508804191</v>
      </c>
      <c r="G677" s="19">
        <v>8</v>
      </c>
      <c r="H677" s="19">
        <v>8</v>
      </c>
      <c r="I677" s="19">
        <v>1232</v>
      </c>
      <c r="J677" s="25">
        <v>0.96509699999999998</v>
      </c>
      <c r="K677" s="26">
        <v>344.00396800000016</v>
      </c>
      <c r="L677" s="26">
        <v>39712</v>
      </c>
      <c r="M677" s="26">
        <v>7</v>
      </c>
      <c r="N677" s="26">
        <v>6</v>
      </c>
      <c r="O677" s="27">
        <v>13</v>
      </c>
      <c r="P677" s="19">
        <v>22</v>
      </c>
      <c r="Q677" s="19">
        <v>4</v>
      </c>
      <c r="R677" s="19" t="s">
        <v>431</v>
      </c>
      <c r="S677" s="26">
        <v>0</v>
      </c>
      <c r="T677" s="28" t="s">
        <v>1933</v>
      </c>
      <c r="U677" s="19" t="s">
        <v>81</v>
      </c>
      <c r="V677" s="19">
        <v>5284.4217999999983</v>
      </c>
      <c r="X677" t="b">
        <f>VLOOKUP(B677,'M10B Order'!B:F,5,FALSE)=W677</f>
        <v>1</v>
      </c>
    </row>
    <row r="678" spans="1:24" x14ac:dyDescent="0.2">
      <c r="A678" s="19">
        <v>554919509</v>
      </c>
      <c r="B678" s="19" t="s">
        <v>139</v>
      </c>
      <c r="C678" s="19" t="s">
        <v>138</v>
      </c>
      <c r="D678" s="19" t="s">
        <v>365</v>
      </c>
      <c r="E678" s="19" t="s">
        <v>1777</v>
      </c>
      <c r="F678" s="19">
        <v>508804191</v>
      </c>
      <c r="G678" s="19">
        <v>8</v>
      </c>
      <c r="H678" s="19">
        <v>8</v>
      </c>
      <c r="I678" s="19">
        <v>3407</v>
      </c>
      <c r="J678" s="25">
        <v>0.97769300000000003</v>
      </c>
      <c r="K678" s="26">
        <v>607.9995919999991</v>
      </c>
      <c r="L678" s="26">
        <v>49032</v>
      </c>
      <c r="M678" s="26">
        <v>7</v>
      </c>
      <c r="N678" s="26">
        <v>6</v>
      </c>
      <c r="O678" s="27">
        <v>13</v>
      </c>
      <c r="P678" s="19">
        <v>22</v>
      </c>
      <c r="Q678" s="19">
        <v>4</v>
      </c>
      <c r="R678" s="19" t="s">
        <v>431</v>
      </c>
      <c r="S678" s="26">
        <v>0</v>
      </c>
      <c r="T678" s="28" t="s">
        <v>1933</v>
      </c>
      <c r="U678" s="19" t="s">
        <v>682</v>
      </c>
      <c r="V678" s="19">
        <v>0</v>
      </c>
      <c r="X678" t="b">
        <f>VLOOKUP(B678,'M10B Order'!B:F,5,FALSE)=W678</f>
        <v>1</v>
      </c>
    </row>
    <row r="679" spans="1:24" x14ac:dyDescent="0.2">
      <c r="A679" s="19">
        <v>554919754</v>
      </c>
      <c r="B679" s="19" t="s">
        <v>262</v>
      </c>
      <c r="C679" s="19" t="s">
        <v>261</v>
      </c>
      <c r="D679" s="19" t="s">
        <v>365</v>
      </c>
      <c r="E679" s="19" t="s">
        <v>1777</v>
      </c>
      <c r="F679" s="19">
        <v>508804191</v>
      </c>
      <c r="G679" s="19">
        <v>8</v>
      </c>
      <c r="H679" s="19">
        <v>8</v>
      </c>
      <c r="I679" s="19">
        <v>3405</v>
      </c>
      <c r="J679" s="25">
        <v>0.96945700000000001</v>
      </c>
      <c r="K679" s="26">
        <v>831.99131999999963</v>
      </c>
      <c r="L679" s="26">
        <v>49848</v>
      </c>
      <c r="M679" s="26">
        <v>7</v>
      </c>
      <c r="N679" s="26">
        <v>6</v>
      </c>
      <c r="O679" s="27">
        <v>13</v>
      </c>
      <c r="P679" s="19">
        <v>22</v>
      </c>
      <c r="Q679" s="19">
        <v>4</v>
      </c>
      <c r="R679" s="19" t="s">
        <v>431</v>
      </c>
      <c r="S679" s="26">
        <v>0</v>
      </c>
      <c r="T679" s="28" t="s">
        <v>1933</v>
      </c>
      <c r="U679" s="19" t="s">
        <v>684</v>
      </c>
      <c r="V679" s="19">
        <v>0</v>
      </c>
      <c r="X679" t="b">
        <f>VLOOKUP(B679,'M10B Order'!B:F,5,FALSE)=W679</f>
        <v>1</v>
      </c>
    </row>
    <row r="680" spans="1:24" x14ac:dyDescent="0.2">
      <c r="A680" s="19">
        <v>554919740</v>
      </c>
      <c r="B680" s="19" t="s">
        <v>151</v>
      </c>
      <c r="C680" s="19" t="s">
        <v>150</v>
      </c>
      <c r="D680" s="19" t="s">
        <v>365</v>
      </c>
      <c r="E680" s="19" t="s">
        <v>1777</v>
      </c>
      <c r="F680" s="19">
        <v>508804191</v>
      </c>
      <c r="G680" s="19">
        <v>8</v>
      </c>
      <c r="H680" s="19">
        <v>8</v>
      </c>
      <c r="I680" s="19">
        <v>3191</v>
      </c>
      <c r="J680" s="25">
        <v>0.99091200000000002</v>
      </c>
      <c r="K680" s="26">
        <v>231.99846399999961</v>
      </c>
      <c r="L680" s="26">
        <v>46984</v>
      </c>
      <c r="M680" s="26">
        <v>7</v>
      </c>
      <c r="N680" s="26">
        <v>6</v>
      </c>
      <c r="O680" s="27">
        <v>13</v>
      </c>
      <c r="P680" s="19">
        <v>22</v>
      </c>
      <c r="Q680" s="19">
        <v>4</v>
      </c>
      <c r="R680" s="19" t="s">
        <v>431</v>
      </c>
      <c r="S680" s="26">
        <v>0</v>
      </c>
      <c r="T680" s="28" t="s">
        <v>1933</v>
      </c>
      <c r="U680" s="19" t="s">
        <v>680</v>
      </c>
      <c r="V680" s="19">
        <v>0</v>
      </c>
      <c r="X680" t="b">
        <f>VLOOKUP(B680,'M10B Order'!B:F,5,FALSE)=W680</f>
        <v>1</v>
      </c>
    </row>
    <row r="681" spans="1:24" x14ac:dyDescent="0.2">
      <c r="A681" s="19">
        <v>554919831</v>
      </c>
      <c r="B681" s="19" t="s">
        <v>99</v>
      </c>
      <c r="C681" s="19" t="s">
        <v>98</v>
      </c>
      <c r="D681" s="19" t="s">
        <v>365</v>
      </c>
      <c r="E681" s="19" t="s">
        <v>1777</v>
      </c>
      <c r="F681" s="19">
        <v>508804191</v>
      </c>
      <c r="G681" s="19">
        <v>8</v>
      </c>
      <c r="H681" s="19">
        <v>8</v>
      </c>
      <c r="I681" s="19">
        <v>3406</v>
      </c>
      <c r="J681" s="25">
        <v>0.96447400000000005</v>
      </c>
      <c r="K681" s="26">
        <v>968.01244799999859</v>
      </c>
      <c r="L681" s="26">
        <v>43592</v>
      </c>
      <c r="M681" s="26">
        <v>7</v>
      </c>
      <c r="N681" s="26">
        <v>6</v>
      </c>
      <c r="O681" s="27">
        <v>13</v>
      </c>
      <c r="P681" s="19">
        <v>22</v>
      </c>
      <c r="Q681" s="19">
        <v>4</v>
      </c>
      <c r="R681" s="19" t="s">
        <v>431</v>
      </c>
      <c r="S681" s="26">
        <v>0</v>
      </c>
      <c r="T681" s="28" t="s">
        <v>1933</v>
      </c>
      <c r="U681" s="19" t="s">
        <v>654</v>
      </c>
      <c r="V681" s="19">
        <v>432.56802000000357</v>
      </c>
      <c r="X681" t="b">
        <f>VLOOKUP(B681,'M10B Order'!B:F,5,FALSE)=W681</f>
        <v>1</v>
      </c>
    </row>
    <row r="682" spans="1:24" x14ac:dyDescent="0.2">
      <c r="A682" s="19">
        <v>554919582</v>
      </c>
      <c r="B682" s="19" t="s">
        <v>135</v>
      </c>
      <c r="C682" s="19" t="s">
        <v>134</v>
      </c>
      <c r="D682" s="19" t="s">
        <v>365</v>
      </c>
      <c r="E682" s="19" t="s">
        <v>1777</v>
      </c>
      <c r="F682" s="19">
        <v>508804191</v>
      </c>
      <c r="G682" s="19">
        <v>8</v>
      </c>
      <c r="H682" s="19">
        <v>8</v>
      </c>
      <c r="I682" s="19">
        <v>1379</v>
      </c>
      <c r="J682" s="25">
        <v>0.95866600000000002</v>
      </c>
      <c r="K682" s="26">
        <v>455.99668799999978</v>
      </c>
      <c r="L682" s="26">
        <v>33400</v>
      </c>
      <c r="M682" s="26">
        <v>7</v>
      </c>
      <c r="N682" s="26">
        <v>6</v>
      </c>
      <c r="O682" s="27">
        <v>13</v>
      </c>
      <c r="P682" s="19">
        <v>22</v>
      </c>
      <c r="Q682" s="19">
        <v>4</v>
      </c>
      <c r="R682" s="19" t="s">
        <v>431</v>
      </c>
      <c r="S682" s="26">
        <v>0</v>
      </c>
      <c r="T682" s="28" t="s">
        <v>1933</v>
      </c>
      <c r="U682" s="19" t="s">
        <v>63</v>
      </c>
      <c r="V682" s="19">
        <v>0</v>
      </c>
      <c r="X682" t="b">
        <f>VLOOKUP(B682,'M10B Order'!B:F,5,FALSE)=W682</f>
        <v>1</v>
      </c>
    </row>
    <row r="683" spans="1:24" x14ac:dyDescent="0.2">
      <c r="A683" s="19">
        <v>554919814</v>
      </c>
      <c r="B683" s="19" t="s">
        <v>227</v>
      </c>
      <c r="C683" s="19" t="s">
        <v>226</v>
      </c>
      <c r="D683" s="19" t="s">
        <v>365</v>
      </c>
      <c r="E683" s="19" t="s">
        <v>1777</v>
      </c>
      <c r="F683" s="19">
        <v>508804191</v>
      </c>
      <c r="G683" s="19">
        <v>8</v>
      </c>
      <c r="H683" s="19">
        <v>8</v>
      </c>
      <c r="I683" s="19">
        <v>3191</v>
      </c>
      <c r="J683" s="25">
        <v>0.95800700000000005</v>
      </c>
      <c r="K683" s="26">
        <v>1071.9973039999986</v>
      </c>
      <c r="L683" s="26">
        <v>44352</v>
      </c>
      <c r="M683" s="26">
        <v>7</v>
      </c>
      <c r="N683" s="26">
        <v>6</v>
      </c>
      <c r="O683" s="27">
        <v>13</v>
      </c>
      <c r="P683" s="19">
        <v>22</v>
      </c>
      <c r="Q683" s="19">
        <v>4</v>
      </c>
      <c r="R683" s="19" t="s">
        <v>431</v>
      </c>
      <c r="S683" s="26">
        <v>0</v>
      </c>
      <c r="T683" s="28" t="s">
        <v>1933</v>
      </c>
      <c r="U683" s="19" t="s">
        <v>628</v>
      </c>
      <c r="V683" s="19">
        <v>228.46910000000014</v>
      </c>
      <c r="X683" t="b">
        <f>VLOOKUP(B683,'M10B Order'!B:F,5,FALSE)=W683</f>
        <v>1</v>
      </c>
    </row>
    <row r="684" spans="1:24" x14ac:dyDescent="0.2">
      <c r="A684" s="19">
        <v>554919823</v>
      </c>
      <c r="B684" s="19" t="s">
        <v>268</v>
      </c>
      <c r="C684" s="19" t="s">
        <v>267</v>
      </c>
      <c r="D684" s="19" t="s">
        <v>365</v>
      </c>
      <c r="E684" s="19" t="s">
        <v>1777</v>
      </c>
      <c r="F684" s="19">
        <v>508804191</v>
      </c>
      <c r="G684" s="19">
        <v>8</v>
      </c>
      <c r="H684" s="19">
        <v>8</v>
      </c>
      <c r="I684" s="19">
        <v>458</v>
      </c>
      <c r="J684" s="25">
        <v>0.90393000000000001</v>
      </c>
      <c r="K684" s="26">
        <v>352.00047999999998</v>
      </c>
      <c r="L684" s="26">
        <v>2512</v>
      </c>
      <c r="M684" s="26">
        <v>7</v>
      </c>
      <c r="N684" s="26">
        <v>6</v>
      </c>
      <c r="O684" s="27">
        <v>13</v>
      </c>
      <c r="P684" s="19">
        <v>22</v>
      </c>
      <c r="Q684" s="19">
        <v>4</v>
      </c>
      <c r="R684" s="19" t="s">
        <v>431</v>
      </c>
      <c r="S684" s="26">
        <v>0</v>
      </c>
      <c r="T684" s="28" t="s">
        <v>1933</v>
      </c>
      <c r="U684" s="19" t="s">
        <v>786</v>
      </c>
      <c r="V684" s="19">
        <v>0</v>
      </c>
      <c r="X684" t="b">
        <f>VLOOKUP(B684,'M10B Order'!B:F,5,FALSE)=W684</f>
        <v>1</v>
      </c>
    </row>
    <row r="685" spans="1:24" x14ac:dyDescent="0.2">
      <c r="A685" s="19">
        <v>554919820</v>
      </c>
      <c r="B685" s="19" t="s">
        <v>159</v>
      </c>
      <c r="C685" s="19" t="s">
        <v>158</v>
      </c>
      <c r="D685" s="19" t="s">
        <v>365</v>
      </c>
      <c r="E685" s="19" t="s">
        <v>1777</v>
      </c>
      <c r="F685" s="19">
        <v>508804191</v>
      </c>
      <c r="G685" s="19">
        <v>8</v>
      </c>
      <c r="H685" s="19">
        <v>8</v>
      </c>
      <c r="I685" s="19">
        <v>1378</v>
      </c>
      <c r="J685" s="25">
        <v>0.96226400000000001</v>
      </c>
      <c r="K685" s="26">
        <v>416.00166399999989</v>
      </c>
      <c r="L685" s="26">
        <v>23680</v>
      </c>
      <c r="M685" s="26">
        <v>7</v>
      </c>
      <c r="N685" s="26">
        <v>6</v>
      </c>
      <c r="O685" s="27">
        <v>13</v>
      </c>
      <c r="P685" s="19">
        <v>22</v>
      </c>
      <c r="Q685" s="19">
        <v>4</v>
      </c>
      <c r="R685" s="19" t="s">
        <v>431</v>
      </c>
      <c r="S685" s="26">
        <v>0</v>
      </c>
      <c r="T685" s="28" t="s">
        <v>1933</v>
      </c>
      <c r="U685" s="19" t="s">
        <v>194</v>
      </c>
      <c r="V685" s="19">
        <v>15302.506480000005</v>
      </c>
      <c r="X685" t="b">
        <f>VLOOKUP(B685,'M10B Order'!B:F,5,FALSE)=W685</f>
        <v>1</v>
      </c>
    </row>
    <row r="686" spans="1:24" x14ac:dyDescent="0.2">
      <c r="A686" s="19">
        <v>554919809</v>
      </c>
      <c r="B686" s="19" t="s">
        <v>11</v>
      </c>
      <c r="C686" s="19" t="s">
        <v>10</v>
      </c>
      <c r="D686" s="19" t="s">
        <v>365</v>
      </c>
      <c r="E686" s="19" t="s">
        <v>1777</v>
      </c>
      <c r="F686" s="19">
        <v>508804191</v>
      </c>
      <c r="G686" s="19">
        <v>8</v>
      </c>
      <c r="H686" s="19">
        <v>8</v>
      </c>
      <c r="I686" s="19">
        <v>3406</v>
      </c>
      <c r="J686" s="25">
        <v>0.95977699999999999</v>
      </c>
      <c r="K686" s="26">
        <v>1095.9963040000002</v>
      </c>
      <c r="L686" s="26">
        <v>35832</v>
      </c>
      <c r="M686" s="26">
        <v>7</v>
      </c>
      <c r="N686" s="26">
        <v>6</v>
      </c>
      <c r="O686" s="27">
        <v>13</v>
      </c>
      <c r="P686" s="19">
        <v>22</v>
      </c>
      <c r="Q686" s="19">
        <v>4</v>
      </c>
      <c r="R686" s="19" t="s">
        <v>431</v>
      </c>
      <c r="S686" s="26">
        <v>0</v>
      </c>
      <c r="T686" s="28" t="s">
        <v>1933</v>
      </c>
      <c r="U686" s="19" t="s">
        <v>620</v>
      </c>
      <c r="V686" s="19">
        <v>0</v>
      </c>
      <c r="X686" t="b">
        <f>VLOOKUP(B686,'M10B Order'!B:F,5,FALSE)=W686</f>
        <v>1</v>
      </c>
    </row>
    <row r="687" spans="1:24" x14ac:dyDescent="0.2">
      <c r="A687" s="19">
        <v>554919877</v>
      </c>
      <c r="B687" s="19" t="s">
        <v>7</v>
      </c>
      <c r="C687" s="19" t="s">
        <v>6</v>
      </c>
      <c r="D687" s="19" t="s">
        <v>365</v>
      </c>
      <c r="E687" s="19" t="s">
        <v>1777</v>
      </c>
      <c r="F687" s="19">
        <v>508804191</v>
      </c>
      <c r="G687" s="19">
        <v>8</v>
      </c>
      <c r="H687" s="19">
        <v>8</v>
      </c>
      <c r="I687" s="19">
        <v>3405</v>
      </c>
      <c r="J687" s="25">
        <v>0.96446399999999999</v>
      </c>
      <c r="K687" s="26">
        <v>968.00064000000032</v>
      </c>
      <c r="L687" s="26">
        <v>50048</v>
      </c>
      <c r="M687" s="26">
        <v>7</v>
      </c>
      <c r="N687" s="26">
        <v>6</v>
      </c>
      <c r="O687" s="27">
        <v>13</v>
      </c>
      <c r="P687" s="19">
        <v>22</v>
      </c>
      <c r="Q687" s="19">
        <v>4</v>
      </c>
      <c r="R687" s="19" t="s">
        <v>431</v>
      </c>
      <c r="S687" s="26">
        <v>0</v>
      </c>
      <c r="T687" s="28" t="s">
        <v>1933</v>
      </c>
      <c r="U687" s="19" t="s">
        <v>613</v>
      </c>
      <c r="V687" s="19">
        <v>0</v>
      </c>
      <c r="X687" t="b">
        <f>VLOOKUP(B687,'M10B Order'!B:F,5,FALSE)=W687</f>
        <v>1</v>
      </c>
    </row>
    <row r="688" spans="1:24" x14ac:dyDescent="0.2">
      <c r="A688" s="19">
        <v>554919812</v>
      </c>
      <c r="B688" s="19" t="s">
        <v>212</v>
      </c>
      <c r="C688" s="19" t="s">
        <v>211</v>
      </c>
      <c r="D688" s="19" t="s">
        <v>365</v>
      </c>
      <c r="E688" s="19" t="s">
        <v>1777</v>
      </c>
      <c r="F688" s="19">
        <v>508804191</v>
      </c>
      <c r="G688" s="19">
        <v>8</v>
      </c>
      <c r="H688" s="19">
        <v>8</v>
      </c>
      <c r="I688" s="19">
        <v>1030</v>
      </c>
      <c r="J688" s="25">
        <v>0.95728199999999997</v>
      </c>
      <c r="K688" s="26">
        <v>351.99632000000025</v>
      </c>
      <c r="L688" s="26">
        <v>0</v>
      </c>
      <c r="M688" s="26">
        <v>7</v>
      </c>
      <c r="N688" s="26">
        <v>6</v>
      </c>
      <c r="O688" s="27">
        <v>13</v>
      </c>
      <c r="P688" s="19">
        <v>22</v>
      </c>
      <c r="Q688" s="19">
        <v>4</v>
      </c>
      <c r="R688" s="19" t="s">
        <v>431</v>
      </c>
      <c r="S688" s="26">
        <v>0</v>
      </c>
      <c r="T688" s="28">
        <v>38</v>
      </c>
      <c r="U688" s="19" t="s">
        <v>431</v>
      </c>
      <c r="V688" s="19" t="s">
        <v>431</v>
      </c>
      <c r="X688" t="b">
        <f>VLOOKUP(B688,'M10B Order'!B:F,5,FALSE)=W688</f>
        <v>1</v>
      </c>
    </row>
    <row r="689" spans="1:24" x14ac:dyDescent="0.2">
      <c r="A689" s="19">
        <v>554919923</v>
      </c>
      <c r="B689" s="19" t="s">
        <v>300</v>
      </c>
      <c r="C689" s="19" t="s">
        <v>299</v>
      </c>
      <c r="D689" s="19" t="s">
        <v>365</v>
      </c>
      <c r="E689" s="19" t="s">
        <v>1777</v>
      </c>
      <c r="F689" s="19">
        <v>508804191</v>
      </c>
      <c r="G689" s="19">
        <v>8</v>
      </c>
      <c r="H689" s="19">
        <v>8</v>
      </c>
      <c r="I689" s="19">
        <v>457</v>
      </c>
      <c r="J689" s="25">
        <v>0.97155400000000003</v>
      </c>
      <c r="K689" s="26">
        <v>103.9985759999999</v>
      </c>
      <c r="L689" s="26">
        <v>2104</v>
      </c>
      <c r="M689" s="26">
        <v>7</v>
      </c>
      <c r="N689" s="26">
        <v>6</v>
      </c>
      <c r="O689" s="27">
        <v>13</v>
      </c>
      <c r="P689" s="19">
        <v>22</v>
      </c>
      <c r="Q689" s="19">
        <v>4</v>
      </c>
      <c r="R689" s="19" t="s">
        <v>431</v>
      </c>
      <c r="S689" s="26">
        <v>0</v>
      </c>
      <c r="T689" s="28">
        <v>33</v>
      </c>
      <c r="U689" s="19" t="s">
        <v>431</v>
      </c>
      <c r="V689" s="19" t="s">
        <v>431</v>
      </c>
      <c r="X689" t="b">
        <f>VLOOKUP(B689,'M10B Order'!B:F,5,FALSE)=W689</f>
        <v>1</v>
      </c>
    </row>
    <row r="690" spans="1:24" x14ac:dyDescent="0.2">
      <c r="A690" s="19">
        <v>554919905</v>
      </c>
      <c r="B690" s="19" t="s">
        <v>200</v>
      </c>
      <c r="C690" s="19" t="s">
        <v>199</v>
      </c>
      <c r="D690" s="19" t="s">
        <v>365</v>
      </c>
      <c r="E690" s="19" t="s">
        <v>1777</v>
      </c>
      <c r="F690" s="19">
        <v>508804191</v>
      </c>
      <c r="G690" s="19">
        <v>8</v>
      </c>
      <c r="H690" s="19">
        <v>8</v>
      </c>
      <c r="I690" s="19">
        <v>1379</v>
      </c>
      <c r="J690" s="25">
        <v>0.95359000000000005</v>
      </c>
      <c r="K690" s="26">
        <v>511.99511999999947</v>
      </c>
      <c r="L690" s="26">
        <v>12680</v>
      </c>
      <c r="M690" s="26">
        <v>7</v>
      </c>
      <c r="N690" s="26">
        <v>6</v>
      </c>
      <c r="O690" s="27">
        <v>13</v>
      </c>
      <c r="P690" s="19">
        <v>22</v>
      </c>
      <c r="Q690" s="19">
        <v>4</v>
      </c>
      <c r="R690" s="19" t="s">
        <v>431</v>
      </c>
      <c r="S690" s="26">
        <v>0</v>
      </c>
      <c r="T690" s="28">
        <v>38</v>
      </c>
      <c r="U690" s="19" t="s">
        <v>431</v>
      </c>
      <c r="V690" s="19" t="s">
        <v>431</v>
      </c>
      <c r="X690" t="b">
        <f>VLOOKUP(B690,'M10B Order'!B:F,5,FALSE)=W690</f>
        <v>1</v>
      </c>
    </row>
    <row r="691" spans="1:24" x14ac:dyDescent="0.2">
      <c r="A691" s="19">
        <v>554919919</v>
      </c>
      <c r="B691" s="19" t="s">
        <v>350</v>
      </c>
      <c r="C691" s="19" t="s">
        <v>349</v>
      </c>
      <c r="D691" s="19" t="s">
        <v>365</v>
      </c>
      <c r="E691" s="19" t="s">
        <v>1777</v>
      </c>
      <c r="F691" s="19">
        <v>508804191</v>
      </c>
      <c r="G691" s="19">
        <v>8</v>
      </c>
      <c r="H691" s="19">
        <v>8</v>
      </c>
      <c r="I691" s="19">
        <v>3407</v>
      </c>
      <c r="J691" s="25">
        <v>0.94863500000000001</v>
      </c>
      <c r="K691" s="26">
        <v>1400.0044399999999</v>
      </c>
      <c r="L691" s="26">
        <v>41256</v>
      </c>
      <c r="M691" s="26">
        <v>7</v>
      </c>
      <c r="N691" s="26">
        <v>6</v>
      </c>
      <c r="O691" s="27">
        <v>13</v>
      </c>
      <c r="P691" s="19">
        <v>22</v>
      </c>
      <c r="Q691" s="19">
        <v>4</v>
      </c>
      <c r="R691" s="19" t="s">
        <v>431</v>
      </c>
      <c r="S691" s="26">
        <v>0</v>
      </c>
      <c r="T691" s="28" t="s">
        <v>1933</v>
      </c>
      <c r="U691" s="19" t="s">
        <v>609</v>
      </c>
      <c r="V691" s="19">
        <v>738.4796319999997</v>
      </c>
      <c r="X691" t="b">
        <f>VLOOKUP(B691,'M10B Order'!B:F,5,FALSE)=W691</f>
        <v>1</v>
      </c>
    </row>
    <row r="692" spans="1:24" x14ac:dyDescent="0.2">
      <c r="A692" s="19">
        <v>558137555</v>
      </c>
      <c r="B692" s="19" t="s">
        <v>487</v>
      </c>
      <c r="C692" s="19" t="s">
        <v>486</v>
      </c>
      <c r="D692" s="19" t="s">
        <v>365</v>
      </c>
      <c r="E692" s="19" t="s">
        <v>1777</v>
      </c>
      <c r="F692" s="19">
        <v>508804191</v>
      </c>
      <c r="G692" s="19">
        <v>8</v>
      </c>
      <c r="H692" s="19">
        <v>8</v>
      </c>
      <c r="I692" s="19">
        <v>1032</v>
      </c>
      <c r="J692" s="25">
        <v>0.83236399999999999</v>
      </c>
      <c r="K692" s="26">
        <v>1384.0028160000002</v>
      </c>
      <c r="L692" s="26">
        <v>1816</v>
      </c>
      <c r="M692" s="26">
        <v>7</v>
      </c>
      <c r="N692" s="26">
        <v>6</v>
      </c>
      <c r="O692" s="27">
        <v>13</v>
      </c>
      <c r="P692" s="19">
        <v>22</v>
      </c>
      <c r="Q692" s="19">
        <v>4</v>
      </c>
      <c r="R692" s="19" t="s">
        <v>431</v>
      </c>
      <c r="S692" s="26">
        <v>0</v>
      </c>
      <c r="T692" s="28">
        <v>0</v>
      </c>
      <c r="U692" s="19" t="s">
        <v>431</v>
      </c>
      <c r="V692" s="19" t="s">
        <v>431</v>
      </c>
      <c r="X692" t="b">
        <f>VLOOKUP(B692,'M10B Order'!B:F,5,FALSE)=W692</f>
        <v>1</v>
      </c>
    </row>
    <row r="693" spans="1:24" x14ac:dyDescent="0.2">
      <c r="A693" s="19">
        <v>558137570</v>
      </c>
      <c r="B693" s="19" t="s">
        <v>489</v>
      </c>
      <c r="C693" s="19" t="s">
        <v>488</v>
      </c>
      <c r="D693" s="19" t="s">
        <v>365</v>
      </c>
      <c r="E693" s="19" t="s">
        <v>1777</v>
      </c>
      <c r="F693" s="19">
        <v>508804191</v>
      </c>
      <c r="G693" s="19">
        <v>8</v>
      </c>
      <c r="H693" s="19">
        <v>8</v>
      </c>
      <c r="I693" s="19">
        <v>457</v>
      </c>
      <c r="J693" s="25">
        <v>0.873085</v>
      </c>
      <c r="K693" s="26">
        <v>464.00124</v>
      </c>
      <c r="L693" s="26">
        <v>2640</v>
      </c>
      <c r="M693" s="26">
        <v>7</v>
      </c>
      <c r="N693" s="26">
        <v>6</v>
      </c>
      <c r="O693" s="27">
        <v>13</v>
      </c>
      <c r="P693" s="19">
        <v>22</v>
      </c>
      <c r="Q693" s="19">
        <v>4</v>
      </c>
      <c r="R693" s="19" t="s">
        <v>431</v>
      </c>
      <c r="S693" s="26">
        <v>0</v>
      </c>
      <c r="T693" s="28">
        <v>38</v>
      </c>
      <c r="U693" s="19" t="s">
        <v>431</v>
      </c>
      <c r="V693" s="19" t="s">
        <v>431</v>
      </c>
      <c r="X693" t="b">
        <f>VLOOKUP(B693,'M10B Order'!B:F,5,FALSE)=W693</f>
        <v>1</v>
      </c>
    </row>
    <row r="694" spans="1:24" x14ac:dyDescent="0.2">
      <c r="A694" s="19">
        <v>573626572</v>
      </c>
      <c r="B694" s="19" t="s">
        <v>770</v>
      </c>
      <c r="C694" s="19" t="s">
        <v>771</v>
      </c>
      <c r="D694" s="19" t="s">
        <v>763</v>
      </c>
      <c r="E694" s="19" t="s">
        <v>1777</v>
      </c>
      <c r="F694" s="19">
        <v>508804191</v>
      </c>
      <c r="G694" s="19">
        <v>9</v>
      </c>
      <c r="H694" s="19">
        <v>9</v>
      </c>
      <c r="I694" s="19">
        <v>3404</v>
      </c>
      <c r="J694" s="25">
        <v>0.92185700000000004</v>
      </c>
      <c r="K694" s="26">
        <v>2393.9889479999988</v>
      </c>
      <c r="L694" s="26">
        <v>1251</v>
      </c>
      <c r="M694" s="26">
        <v>9</v>
      </c>
      <c r="N694" s="26">
        <v>6</v>
      </c>
      <c r="O694" s="27">
        <v>15</v>
      </c>
      <c r="P694" s="19">
        <v>22</v>
      </c>
      <c r="Q694" s="19">
        <v>4</v>
      </c>
      <c r="R694" s="19" t="s">
        <v>431</v>
      </c>
      <c r="S694" s="26">
        <v>0</v>
      </c>
      <c r="T694" s="28">
        <v>27</v>
      </c>
      <c r="U694" s="19">
        <v>0</v>
      </c>
      <c r="V694" s="19" t="s">
        <v>431</v>
      </c>
      <c r="X694" t="b">
        <f>VLOOKUP(B694,'M10B Order'!B:F,5,FALSE)=W694</f>
        <v>1</v>
      </c>
    </row>
  </sheetData>
  <conditionalFormatting sqref="AA2:AA748">
    <cfRule type="cellIs" dxfId="0" priority="2" operator="equal">
      <formula>1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F154"/>
  <sheetViews>
    <sheetView topLeftCell="A135" workbookViewId="0">
      <selection activeCell="D154" sqref="D154"/>
    </sheetView>
  </sheetViews>
  <sheetFormatPr baseColWidth="10" defaultColWidth="9.1640625" defaultRowHeight="15" x14ac:dyDescent="0.2"/>
  <cols>
    <col min="1" max="1" width="18.6640625" style="1" bestFit="1" customWidth="1"/>
    <col min="2" max="2" width="10" style="1" bestFit="1" customWidth="1"/>
    <col min="3" max="3" width="25.1640625" style="1" bestFit="1" customWidth="1"/>
    <col min="4" max="4" width="15.6640625" style="1" customWidth="1"/>
    <col min="5" max="5" width="14.5" style="1" bestFit="1" customWidth="1"/>
    <col min="6" max="6" width="11.6640625" style="1" customWidth="1"/>
    <col min="7" max="16384" width="9.1640625" style="1"/>
  </cols>
  <sheetData>
    <row r="1" spans="1:6" x14ac:dyDescent="0.2">
      <c r="A1" s="34" t="s">
        <v>1942</v>
      </c>
      <c r="B1" s="34"/>
      <c r="C1" s="34"/>
      <c r="D1" s="35" t="s">
        <v>1943</v>
      </c>
      <c r="E1" s="35"/>
      <c r="F1" s="35"/>
    </row>
    <row r="2" spans="1:6" x14ac:dyDescent="0.2">
      <c r="A2" s="9" t="s">
        <v>360</v>
      </c>
      <c r="B2" s="9" t="s">
        <v>0</v>
      </c>
      <c r="C2" s="9" t="s">
        <v>1</v>
      </c>
      <c r="D2" s="9" t="s">
        <v>2</v>
      </c>
      <c r="E2" s="9" t="s">
        <v>3</v>
      </c>
      <c r="F2" s="9" t="s">
        <v>366</v>
      </c>
    </row>
    <row r="3" spans="1:6" x14ac:dyDescent="0.2">
      <c r="A3" s="1" t="s">
        <v>594</v>
      </c>
      <c r="B3" s="1">
        <v>578808779</v>
      </c>
      <c r="C3" s="1" t="s">
        <v>1481</v>
      </c>
      <c r="D3" s="1">
        <v>81000139964</v>
      </c>
      <c r="E3" s="1" t="s">
        <v>1480</v>
      </c>
      <c r="F3" s="2">
        <f>VLOOKUP(E3,'M10B Order'!B:G,6,FALSE)</f>
        <v>0</v>
      </c>
    </row>
    <row r="4" spans="1:6" x14ac:dyDescent="0.2">
      <c r="A4" s="1" t="s">
        <v>594</v>
      </c>
      <c r="B4" s="1">
        <v>578808773</v>
      </c>
      <c r="C4" s="1" t="s">
        <v>1483</v>
      </c>
      <c r="D4" s="1">
        <v>81000139902</v>
      </c>
      <c r="E4" s="1" t="s">
        <v>1482</v>
      </c>
      <c r="F4" s="2">
        <f>VLOOKUP(E4,'M10B Order'!B:G,6,FALSE)</f>
        <v>0</v>
      </c>
    </row>
    <row r="5" spans="1:6" x14ac:dyDescent="0.2">
      <c r="A5" s="1" t="s">
        <v>594</v>
      </c>
      <c r="B5" s="1">
        <v>578808794</v>
      </c>
      <c r="C5" s="1" t="s">
        <v>1485</v>
      </c>
      <c r="D5" s="1">
        <v>81000139900</v>
      </c>
      <c r="E5" s="1" t="s">
        <v>1484</v>
      </c>
      <c r="F5" s="2">
        <f>VLOOKUP(E5,'M10B Order'!B:G,6,FALSE)</f>
        <v>0</v>
      </c>
    </row>
    <row r="6" spans="1:6" x14ac:dyDescent="0.2">
      <c r="A6" s="1" t="s">
        <v>594</v>
      </c>
      <c r="B6" s="1">
        <v>578808803</v>
      </c>
      <c r="C6" s="1" t="s">
        <v>1487</v>
      </c>
      <c r="D6" s="1">
        <v>81000139969</v>
      </c>
      <c r="E6" s="1" t="s">
        <v>1486</v>
      </c>
      <c r="F6" s="2">
        <f>VLOOKUP(E6,'M10B Order'!B:G,6,FALSE)</f>
        <v>0</v>
      </c>
    </row>
    <row r="7" spans="1:6" x14ac:dyDescent="0.2">
      <c r="A7" s="1" t="s">
        <v>594</v>
      </c>
      <c r="B7" s="1">
        <v>578808795</v>
      </c>
      <c r="C7" s="1" t="s">
        <v>1489</v>
      </c>
      <c r="D7" s="1">
        <v>81000139974</v>
      </c>
      <c r="E7" s="1" t="s">
        <v>1488</v>
      </c>
      <c r="F7" s="2">
        <f>VLOOKUP(E7,'M10B Order'!B:G,6,FALSE)</f>
        <v>0</v>
      </c>
    </row>
    <row r="8" spans="1:6" x14ac:dyDescent="0.2">
      <c r="A8" s="1" t="s">
        <v>594</v>
      </c>
      <c r="B8" s="1">
        <v>578808799</v>
      </c>
      <c r="C8" s="1" t="s">
        <v>1491</v>
      </c>
      <c r="D8" s="1">
        <v>81000139965</v>
      </c>
      <c r="E8" s="1" t="s">
        <v>1490</v>
      </c>
      <c r="F8" s="2">
        <f>VLOOKUP(E8,'M10B Order'!B:G,6,FALSE)</f>
        <v>0</v>
      </c>
    </row>
    <row r="9" spans="1:6" x14ac:dyDescent="0.2">
      <c r="A9" s="1" t="s">
        <v>594</v>
      </c>
      <c r="B9" s="1">
        <v>578808697</v>
      </c>
      <c r="C9" s="1" t="s">
        <v>1123</v>
      </c>
      <c r="D9" s="1">
        <v>81000139963</v>
      </c>
      <c r="E9" s="1" t="s">
        <v>1122</v>
      </c>
      <c r="F9" s="2">
        <f>VLOOKUP(E9,'M10B Order'!B:G,6,FALSE)</f>
        <v>0</v>
      </c>
    </row>
    <row r="10" spans="1:6" x14ac:dyDescent="0.2">
      <c r="A10" s="1" t="s">
        <v>594</v>
      </c>
      <c r="B10" s="1">
        <v>578808690</v>
      </c>
      <c r="C10" s="1" t="s">
        <v>1493</v>
      </c>
      <c r="D10" s="1">
        <v>81000139970</v>
      </c>
      <c r="E10" s="1" t="s">
        <v>1492</v>
      </c>
      <c r="F10" s="2">
        <f>VLOOKUP(E10,'M10B Order'!B:G,6,FALSE)</f>
        <v>0</v>
      </c>
    </row>
    <row r="11" spans="1:6" x14ac:dyDescent="0.2">
      <c r="A11" s="1" t="s">
        <v>594</v>
      </c>
      <c r="B11" s="1">
        <v>578808684</v>
      </c>
      <c r="C11" s="1" t="s">
        <v>1495</v>
      </c>
      <c r="D11" s="1">
        <v>81000139966</v>
      </c>
      <c r="E11" s="1" t="s">
        <v>1494</v>
      </c>
      <c r="F11" s="2">
        <f>VLOOKUP(E11,'M10B Order'!B:G,6,FALSE)</f>
        <v>0</v>
      </c>
    </row>
    <row r="12" spans="1:6" x14ac:dyDescent="0.2">
      <c r="A12" s="1" t="s">
        <v>594</v>
      </c>
      <c r="B12" s="1">
        <v>578808685</v>
      </c>
      <c r="C12" s="1" t="s">
        <v>1497</v>
      </c>
      <c r="D12" s="1">
        <v>81000139962</v>
      </c>
      <c r="E12" s="1" t="s">
        <v>1496</v>
      </c>
      <c r="F12" s="2">
        <f>VLOOKUP(E12,'M10B Order'!B:G,6,FALSE)</f>
        <v>0</v>
      </c>
    </row>
    <row r="13" spans="1:6" x14ac:dyDescent="0.2">
      <c r="A13" s="1" t="s">
        <v>594</v>
      </c>
      <c r="B13" s="1">
        <v>578808696</v>
      </c>
      <c r="C13" s="1" t="s">
        <v>1499</v>
      </c>
      <c r="D13" s="1">
        <v>81000139977</v>
      </c>
      <c r="E13" s="1" t="s">
        <v>1498</v>
      </c>
      <c r="F13" s="2">
        <f>VLOOKUP(E13,'M10B Order'!B:G,6,FALSE)</f>
        <v>0</v>
      </c>
    </row>
    <row r="14" spans="1:6" x14ac:dyDescent="0.2">
      <c r="A14" s="1" t="s">
        <v>594</v>
      </c>
      <c r="B14" s="1">
        <v>578808683</v>
      </c>
      <c r="C14" s="1" t="s">
        <v>1501</v>
      </c>
      <c r="D14" s="1">
        <v>81000139981</v>
      </c>
      <c r="E14" s="1" t="s">
        <v>1500</v>
      </c>
      <c r="F14" s="2">
        <f>VLOOKUP(E14,'M10B Order'!B:G,6,FALSE)</f>
        <v>0</v>
      </c>
    </row>
    <row r="15" spans="1:6" x14ac:dyDescent="0.2">
      <c r="A15" s="1" t="s">
        <v>594</v>
      </c>
      <c r="B15" s="1">
        <v>578808689</v>
      </c>
      <c r="C15" s="1" t="s">
        <v>1503</v>
      </c>
      <c r="D15" s="1">
        <v>81000139988</v>
      </c>
      <c r="E15" s="1" t="s">
        <v>1502</v>
      </c>
      <c r="F15" s="2">
        <f>VLOOKUP(E15,'M10B Order'!B:G,6,FALSE)</f>
        <v>0</v>
      </c>
    </row>
    <row r="16" spans="1:6" x14ac:dyDescent="0.2">
      <c r="A16" s="1" t="s">
        <v>594</v>
      </c>
      <c r="B16" s="1">
        <v>578808711</v>
      </c>
      <c r="C16" s="1" t="s">
        <v>1505</v>
      </c>
      <c r="D16" s="1">
        <v>81000139982</v>
      </c>
      <c r="E16" s="1" t="s">
        <v>1504</v>
      </c>
      <c r="F16" s="2">
        <f>VLOOKUP(E16,'M10B Order'!B:G,6,FALSE)</f>
        <v>0</v>
      </c>
    </row>
    <row r="17" spans="1:6" x14ac:dyDescent="0.2">
      <c r="A17" s="1" t="s">
        <v>594</v>
      </c>
      <c r="B17" s="1">
        <v>578808688</v>
      </c>
      <c r="C17" s="1" t="s">
        <v>1507</v>
      </c>
      <c r="D17" s="1">
        <v>81000139971</v>
      </c>
      <c r="E17" s="1" t="s">
        <v>1506</v>
      </c>
      <c r="F17" s="2">
        <f>VLOOKUP(E17,'M10B Order'!B:G,6,FALSE)</f>
        <v>0</v>
      </c>
    </row>
    <row r="18" spans="1:6" x14ac:dyDescent="0.2">
      <c r="A18" s="1" t="s">
        <v>594</v>
      </c>
      <c r="B18" s="1">
        <v>578808719</v>
      </c>
      <c r="C18" s="1" t="s">
        <v>1509</v>
      </c>
      <c r="D18" s="1">
        <v>81000139972</v>
      </c>
      <c r="E18" s="1" t="s">
        <v>1508</v>
      </c>
      <c r="F18" s="2">
        <f>VLOOKUP(E18,'M10B Order'!B:G,6,FALSE)</f>
        <v>0</v>
      </c>
    </row>
    <row r="19" spans="1:6" x14ac:dyDescent="0.2">
      <c r="A19" s="1" t="s">
        <v>594</v>
      </c>
      <c r="B19" s="1">
        <v>578808790</v>
      </c>
      <c r="C19" s="1" t="s">
        <v>1511</v>
      </c>
      <c r="D19" s="1">
        <v>81000139989</v>
      </c>
      <c r="E19" s="1" t="s">
        <v>1510</v>
      </c>
      <c r="F19" s="2">
        <f>VLOOKUP(E19,'M10B Order'!B:G,6,FALSE)</f>
        <v>0</v>
      </c>
    </row>
    <row r="20" spans="1:6" x14ac:dyDescent="0.2">
      <c r="A20" s="1" t="s">
        <v>594</v>
      </c>
      <c r="B20" s="1">
        <v>578808714</v>
      </c>
      <c r="C20" s="1" t="s">
        <v>1513</v>
      </c>
      <c r="D20" s="1">
        <v>81000139987</v>
      </c>
      <c r="E20" s="1" t="s">
        <v>1512</v>
      </c>
      <c r="F20" s="2">
        <f>VLOOKUP(E20,'M10B Order'!B:G,6,FALSE)</f>
        <v>0</v>
      </c>
    </row>
    <row r="21" spans="1:6" x14ac:dyDescent="0.2">
      <c r="A21" s="1" t="s">
        <v>594</v>
      </c>
      <c r="B21" s="1">
        <v>578808712</v>
      </c>
      <c r="C21" s="1" t="s">
        <v>1515</v>
      </c>
      <c r="D21" s="1">
        <v>81000139961</v>
      </c>
      <c r="E21" s="1" t="s">
        <v>1514</v>
      </c>
      <c r="F21" s="2">
        <f>VLOOKUP(E21,'M10B Order'!B:G,6,FALSE)</f>
        <v>0</v>
      </c>
    </row>
    <row r="22" spans="1:6" x14ac:dyDescent="0.2">
      <c r="A22" s="1" t="s">
        <v>594</v>
      </c>
      <c r="B22" s="1">
        <v>578808800</v>
      </c>
      <c r="C22" s="1" t="s">
        <v>1517</v>
      </c>
      <c r="D22" s="1">
        <v>81000139986</v>
      </c>
      <c r="E22" s="1" t="s">
        <v>1516</v>
      </c>
      <c r="F22" s="2">
        <f>VLOOKUP(E22,'M10B Order'!B:G,6,FALSE)</f>
        <v>0</v>
      </c>
    </row>
    <row r="23" spans="1:6" x14ac:dyDescent="0.2">
      <c r="A23" s="1" t="s">
        <v>594</v>
      </c>
      <c r="B23" s="1">
        <v>578808693</v>
      </c>
      <c r="C23" s="1" t="s">
        <v>1519</v>
      </c>
      <c r="D23" s="1">
        <v>81000139991</v>
      </c>
      <c r="E23" s="1" t="s">
        <v>1518</v>
      </c>
      <c r="F23" s="2">
        <f>VLOOKUP(E23,'M10B Order'!B:G,6,FALSE)</f>
        <v>0</v>
      </c>
    </row>
    <row r="24" spans="1:6" x14ac:dyDescent="0.2">
      <c r="A24" s="1" t="s">
        <v>594</v>
      </c>
      <c r="B24" s="1">
        <v>578808722</v>
      </c>
      <c r="C24" s="1" t="s">
        <v>1521</v>
      </c>
      <c r="D24" s="1">
        <v>81000139983</v>
      </c>
      <c r="E24" s="1" t="s">
        <v>1520</v>
      </c>
      <c r="F24" s="2">
        <f>VLOOKUP(E24,'M10B Order'!B:G,6,FALSE)</f>
        <v>0</v>
      </c>
    </row>
    <row r="25" spans="1:6" x14ac:dyDescent="0.2">
      <c r="A25" s="1" t="s">
        <v>594</v>
      </c>
      <c r="B25" s="1">
        <v>578808767</v>
      </c>
      <c r="C25" s="1" t="s">
        <v>1523</v>
      </c>
      <c r="D25" s="1">
        <v>81000139967</v>
      </c>
      <c r="E25" s="1" t="s">
        <v>1522</v>
      </c>
      <c r="F25" s="2">
        <f>VLOOKUP(E25,'M10B Order'!B:G,6,FALSE)</f>
        <v>0</v>
      </c>
    </row>
    <row r="26" spans="1:6" x14ac:dyDescent="0.2">
      <c r="A26" s="1" t="s">
        <v>594</v>
      </c>
      <c r="B26" s="1">
        <v>578808706</v>
      </c>
      <c r="C26" s="1" t="s">
        <v>1525</v>
      </c>
      <c r="D26" s="1">
        <v>81000139942</v>
      </c>
      <c r="E26" s="1" t="s">
        <v>1524</v>
      </c>
      <c r="F26" s="2">
        <f>VLOOKUP(E26,'M10B Order'!B:G,6,FALSE)</f>
        <v>0</v>
      </c>
    </row>
    <row r="27" spans="1:6" x14ac:dyDescent="0.2">
      <c r="A27" s="1" t="s">
        <v>594</v>
      </c>
      <c r="B27" s="1">
        <v>578808744</v>
      </c>
      <c r="C27" s="1" t="s">
        <v>1527</v>
      </c>
      <c r="D27" s="1">
        <v>81000139979</v>
      </c>
      <c r="E27" s="1" t="s">
        <v>1526</v>
      </c>
      <c r="F27" s="2">
        <f>VLOOKUP(E27,'M10B Order'!B:G,6,FALSE)</f>
        <v>0</v>
      </c>
    </row>
    <row r="28" spans="1:6" x14ac:dyDescent="0.2">
      <c r="A28" s="1" t="s">
        <v>594</v>
      </c>
      <c r="B28" s="1">
        <v>578808702</v>
      </c>
      <c r="C28" s="1" t="s">
        <v>1529</v>
      </c>
      <c r="D28" s="1">
        <v>81000139975</v>
      </c>
      <c r="E28" s="1" t="s">
        <v>1528</v>
      </c>
      <c r="F28" s="2">
        <f>VLOOKUP(E28,'M10B Order'!B:G,6,FALSE)</f>
        <v>0</v>
      </c>
    </row>
    <row r="29" spans="1:6" x14ac:dyDescent="0.2">
      <c r="A29" s="1" t="s">
        <v>594</v>
      </c>
      <c r="B29" s="1">
        <v>578808691</v>
      </c>
      <c r="C29" s="1" t="s">
        <v>1531</v>
      </c>
      <c r="D29" s="1">
        <v>81000139959</v>
      </c>
      <c r="E29" s="1" t="s">
        <v>1530</v>
      </c>
      <c r="F29" s="2">
        <f>VLOOKUP(E29,'M10B Order'!B:G,6,FALSE)</f>
        <v>0</v>
      </c>
    </row>
    <row r="30" spans="1:6" x14ac:dyDescent="0.2">
      <c r="A30" s="1" t="s">
        <v>594</v>
      </c>
      <c r="B30" s="1">
        <v>578808709</v>
      </c>
      <c r="C30" s="1" t="s">
        <v>1533</v>
      </c>
      <c r="D30" s="1">
        <v>81000139976</v>
      </c>
      <c r="E30" s="1" t="s">
        <v>1532</v>
      </c>
      <c r="F30" s="2">
        <f>VLOOKUP(E30,'M10B Order'!B:G,6,FALSE)</f>
        <v>0</v>
      </c>
    </row>
    <row r="31" spans="1:6" x14ac:dyDescent="0.2">
      <c r="A31" s="1" t="s">
        <v>594</v>
      </c>
      <c r="B31" s="1">
        <v>578808692</v>
      </c>
      <c r="C31" s="1" t="s">
        <v>1535</v>
      </c>
      <c r="D31" s="1">
        <v>81000139992</v>
      </c>
      <c r="E31" s="1" t="s">
        <v>1534</v>
      </c>
      <c r="F31" s="2">
        <f>VLOOKUP(E31,'M10B Order'!B:G,6,FALSE)</f>
        <v>0</v>
      </c>
    </row>
    <row r="32" spans="1:6" x14ac:dyDescent="0.2">
      <c r="A32" s="1" t="s">
        <v>594</v>
      </c>
      <c r="B32" s="1">
        <v>578808703</v>
      </c>
      <c r="C32" s="1" t="s">
        <v>973</v>
      </c>
      <c r="D32" s="1">
        <v>81000139958</v>
      </c>
      <c r="E32" s="1" t="s">
        <v>1536</v>
      </c>
      <c r="F32" s="2">
        <f>VLOOKUP(E32,'M10B Order'!B:G,6,FALSE)</f>
        <v>0</v>
      </c>
    </row>
    <row r="33" spans="1:6" x14ac:dyDescent="0.2">
      <c r="A33" s="1" t="s">
        <v>594</v>
      </c>
      <c r="B33" s="1">
        <v>578808694</v>
      </c>
      <c r="C33" s="1" t="s">
        <v>1538</v>
      </c>
      <c r="D33" s="1">
        <v>81000139978</v>
      </c>
      <c r="E33" s="1" t="s">
        <v>1537</v>
      </c>
      <c r="F33" s="2">
        <f>VLOOKUP(E33,'M10B Order'!B:G,6,FALSE)</f>
        <v>0</v>
      </c>
    </row>
    <row r="34" spans="1:6" x14ac:dyDescent="0.2">
      <c r="A34" s="1" t="s">
        <v>594</v>
      </c>
      <c r="B34" s="1">
        <v>578808704</v>
      </c>
      <c r="C34" s="1" t="s">
        <v>1540</v>
      </c>
      <c r="D34" s="1">
        <v>81000139973</v>
      </c>
      <c r="E34" s="1" t="s">
        <v>1539</v>
      </c>
      <c r="F34" s="2">
        <f>VLOOKUP(E34,'M10B Order'!B:G,6,FALSE)</f>
        <v>0</v>
      </c>
    </row>
    <row r="35" spans="1:6" x14ac:dyDescent="0.2">
      <c r="A35" s="1" t="s">
        <v>594</v>
      </c>
      <c r="B35" s="1">
        <v>578808724</v>
      </c>
      <c r="C35" s="1" t="s">
        <v>1542</v>
      </c>
      <c r="D35" s="1">
        <v>81000139985</v>
      </c>
      <c r="E35" s="1" t="s">
        <v>1541</v>
      </c>
      <c r="F35" s="2">
        <f>VLOOKUP(E35,'M10B Order'!B:G,6,FALSE)</f>
        <v>0</v>
      </c>
    </row>
    <row r="36" spans="1:6" x14ac:dyDescent="0.2">
      <c r="A36" s="1" t="s">
        <v>594</v>
      </c>
      <c r="B36" s="1">
        <v>578808700</v>
      </c>
      <c r="C36" s="1" t="s">
        <v>595</v>
      </c>
      <c r="D36" s="1">
        <v>81000139960</v>
      </c>
      <c r="E36" s="1" t="s">
        <v>1543</v>
      </c>
      <c r="F36" s="2">
        <f>VLOOKUP(E36,'M10B Order'!B:G,6,FALSE)</f>
        <v>0</v>
      </c>
    </row>
    <row r="37" spans="1:6" x14ac:dyDescent="0.2">
      <c r="A37" s="1" t="s">
        <v>594</v>
      </c>
      <c r="B37" s="1">
        <v>578808705</v>
      </c>
      <c r="C37" s="1" t="s">
        <v>1545</v>
      </c>
      <c r="D37" s="1">
        <v>81000139968</v>
      </c>
      <c r="E37" s="1" t="s">
        <v>1544</v>
      </c>
      <c r="F37" s="2">
        <f>VLOOKUP(E37,'M10B Order'!B:G,6,FALSE)</f>
        <v>0</v>
      </c>
    </row>
    <row r="38" spans="1:6" x14ac:dyDescent="0.2">
      <c r="A38" s="1" t="s">
        <v>594</v>
      </c>
      <c r="B38" s="1">
        <v>578808699</v>
      </c>
      <c r="C38" s="1" t="s">
        <v>1547</v>
      </c>
      <c r="D38" s="1">
        <v>81000139990</v>
      </c>
      <c r="E38" s="1" t="s">
        <v>1546</v>
      </c>
      <c r="F38" s="2">
        <f>VLOOKUP(E38,'M10B Order'!B:G,6,FALSE)</f>
        <v>0</v>
      </c>
    </row>
    <row r="39" spans="1:6" x14ac:dyDescent="0.2">
      <c r="A39" s="1" t="s">
        <v>594</v>
      </c>
      <c r="B39" s="1">
        <v>578808698</v>
      </c>
      <c r="C39" s="1" t="s">
        <v>1549</v>
      </c>
      <c r="D39" s="1">
        <v>81000139984</v>
      </c>
      <c r="E39" s="1" t="s">
        <v>1548</v>
      </c>
      <c r="F39" s="2">
        <f>VLOOKUP(E39,'M10B Order'!B:G,6,FALSE)</f>
        <v>0</v>
      </c>
    </row>
    <row r="40" spans="1:6" x14ac:dyDescent="0.2">
      <c r="A40" s="1" t="s">
        <v>594</v>
      </c>
      <c r="B40" s="1">
        <v>578808713</v>
      </c>
      <c r="C40" s="1" t="s">
        <v>1551</v>
      </c>
      <c r="D40" s="1">
        <v>81000139980</v>
      </c>
      <c r="E40" s="1" t="s">
        <v>1550</v>
      </c>
      <c r="F40" s="2">
        <f>VLOOKUP(E40,'M10B Order'!B:G,6,FALSE)</f>
        <v>0</v>
      </c>
    </row>
    <row r="41" spans="1:6" x14ac:dyDescent="0.2">
      <c r="A41" s="1" t="s">
        <v>594</v>
      </c>
      <c r="B41" s="1">
        <v>578808695</v>
      </c>
      <c r="C41" s="1" t="s">
        <v>1553</v>
      </c>
      <c r="D41" s="1">
        <v>81000139947</v>
      </c>
      <c r="E41" s="1" t="s">
        <v>1552</v>
      </c>
      <c r="F41" s="2">
        <f>VLOOKUP(E41,'M10B Order'!B:G,6,FALSE)</f>
        <v>0</v>
      </c>
    </row>
    <row r="42" spans="1:6" x14ac:dyDescent="0.2">
      <c r="A42" s="1" t="s">
        <v>594</v>
      </c>
      <c r="B42" s="1">
        <v>578808723</v>
      </c>
      <c r="C42" s="1" t="s">
        <v>1555</v>
      </c>
      <c r="D42" s="1">
        <v>81000139913</v>
      </c>
      <c r="E42" s="1" t="s">
        <v>1554</v>
      </c>
      <c r="F42" s="2">
        <f>VLOOKUP(E42,'M10B Order'!B:G,6,FALSE)</f>
        <v>0</v>
      </c>
    </row>
    <row r="43" spans="1:6" x14ac:dyDescent="0.2">
      <c r="A43" s="1" t="s">
        <v>594</v>
      </c>
      <c r="B43" s="1">
        <v>578808715</v>
      </c>
      <c r="C43" s="1" t="s">
        <v>1557</v>
      </c>
      <c r="D43" s="1">
        <v>81000139912</v>
      </c>
      <c r="E43" s="1" t="s">
        <v>1556</v>
      </c>
      <c r="F43" s="2">
        <f>VLOOKUP(E43,'M10B Order'!B:G,6,FALSE)</f>
        <v>0</v>
      </c>
    </row>
    <row r="44" spans="1:6" x14ac:dyDescent="0.2">
      <c r="A44" s="1" t="s">
        <v>594</v>
      </c>
      <c r="B44" s="1">
        <v>578808761</v>
      </c>
      <c r="C44" s="1" t="s">
        <v>1559</v>
      </c>
      <c r="D44" s="1">
        <v>81000139943</v>
      </c>
      <c r="E44" s="1" t="s">
        <v>1558</v>
      </c>
      <c r="F44" s="2">
        <f>VLOOKUP(E44,'M10B Order'!B:G,6,FALSE)</f>
        <v>0</v>
      </c>
    </row>
    <row r="45" spans="1:6" x14ac:dyDescent="0.2">
      <c r="A45" s="1" t="s">
        <v>594</v>
      </c>
      <c r="B45" s="1">
        <v>578808752</v>
      </c>
      <c r="C45" s="1" t="s">
        <v>1561</v>
      </c>
      <c r="D45" s="1">
        <v>81000139928</v>
      </c>
      <c r="E45" s="1" t="s">
        <v>1560</v>
      </c>
      <c r="F45" s="2">
        <f>VLOOKUP(E45,'M10B Order'!B:G,6,FALSE)</f>
        <v>0</v>
      </c>
    </row>
    <row r="46" spans="1:6" x14ac:dyDescent="0.2">
      <c r="A46" s="1" t="s">
        <v>594</v>
      </c>
      <c r="B46" s="1">
        <v>578808701</v>
      </c>
      <c r="C46" s="1" t="s">
        <v>1563</v>
      </c>
      <c r="D46" s="1">
        <v>81000139938</v>
      </c>
      <c r="E46" s="1" t="s">
        <v>1562</v>
      </c>
      <c r="F46" s="2">
        <f>VLOOKUP(E46,'M10B Order'!B:G,6,FALSE)</f>
        <v>0</v>
      </c>
    </row>
    <row r="47" spans="1:6" x14ac:dyDescent="0.2">
      <c r="A47" s="1" t="s">
        <v>594</v>
      </c>
      <c r="B47" s="1">
        <v>578808755</v>
      </c>
      <c r="C47" s="1" t="s">
        <v>1565</v>
      </c>
      <c r="D47" s="1">
        <v>81000139946</v>
      </c>
      <c r="E47" s="1" t="s">
        <v>1564</v>
      </c>
      <c r="F47" s="2">
        <f>VLOOKUP(E47,'M10B Order'!B:G,6,FALSE)</f>
        <v>0</v>
      </c>
    </row>
    <row r="48" spans="1:6" x14ac:dyDescent="0.2">
      <c r="A48" s="1" t="s">
        <v>594</v>
      </c>
      <c r="B48" s="1">
        <v>578808717</v>
      </c>
      <c r="C48" s="1" t="s">
        <v>1567</v>
      </c>
      <c r="D48" s="1">
        <v>81000139948</v>
      </c>
      <c r="E48" s="1" t="s">
        <v>1566</v>
      </c>
      <c r="F48" s="2">
        <f>VLOOKUP(E48,'M10B Order'!B:G,6,FALSE)</f>
        <v>0</v>
      </c>
    </row>
    <row r="49" spans="1:6" x14ac:dyDescent="0.2">
      <c r="A49" s="1" t="s">
        <v>594</v>
      </c>
      <c r="B49" s="1">
        <v>578808718</v>
      </c>
      <c r="C49" s="1" t="s">
        <v>1131</v>
      </c>
      <c r="D49" s="1">
        <v>81000139934</v>
      </c>
      <c r="E49" s="1" t="s">
        <v>1130</v>
      </c>
      <c r="F49" s="2">
        <f>VLOOKUP(E49,'M10B Order'!B:G,6,FALSE)</f>
        <v>0</v>
      </c>
    </row>
    <row r="50" spans="1:6" x14ac:dyDescent="0.2">
      <c r="A50" s="1" t="s">
        <v>594</v>
      </c>
      <c r="B50" s="1">
        <v>578808687</v>
      </c>
      <c r="C50" s="1" t="s">
        <v>1569</v>
      </c>
      <c r="D50" s="1">
        <v>81000139915</v>
      </c>
      <c r="E50" s="1" t="s">
        <v>1568</v>
      </c>
      <c r="F50" s="2">
        <f>VLOOKUP(E50,'M10B Order'!B:G,6,FALSE)</f>
        <v>0</v>
      </c>
    </row>
    <row r="51" spans="1:6" x14ac:dyDescent="0.2">
      <c r="A51" s="1" t="s">
        <v>594</v>
      </c>
      <c r="B51" s="1">
        <v>578808725</v>
      </c>
      <c r="C51" s="1" t="s">
        <v>1571</v>
      </c>
      <c r="D51" s="1">
        <v>81000139950</v>
      </c>
      <c r="E51" s="1" t="s">
        <v>1570</v>
      </c>
      <c r="F51" s="2">
        <f>VLOOKUP(E51,'M10B Order'!B:G,6,FALSE)</f>
        <v>0</v>
      </c>
    </row>
    <row r="52" spans="1:6" x14ac:dyDescent="0.2">
      <c r="A52" s="1" t="s">
        <v>594</v>
      </c>
      <c r="B52" s="1">
        <v>578808726</v>
      </c>
      <c r="C52" s="1" t="s">
        <v>1573</v>
      </c>
      <c r="D52" s="1">
        <v>81000139941</v>
      </c>
      <c r="E52" s="1" t="s">
        <v>1572</v>
      </c>
      <c r="F52" s="2">
        <f>VLOOKUP(E52,'M10B Order'!B:G,6,FALSE)</f>
        <v>0</v>
      </c>
    </row>
    <row r="53" spans="1:6" x14ac:dyDescent="0.2">
      <c r="A53" s="1" t="s">
        <v>594</v>
      </c>
      <c r="B53" s="1">
        <v>578808751</v>
      </c>
      <c r="C53" s="1" t="s">
        <v>1575</v>
      </c>
      <c r="D53" s="1">
        <v>81000139907</v>
      </c>
      <c r="E53" s="1" t="s">
        <v>1574</v>
      </c>
      <c r="F53" s="2">
        <f>VLOOKUP(E53,'M10B Order'!B:G,6,FALSE)</f>
        <v>0</v>
      </c>
    </row>
    <row r="54" spans="1:6" x14ac:dyDescent="0.2">
      <c r="A54" s="1" t="s">
        <v>594</v>
      </c>
      <c r="B54" s="1">
        <v>578808756</v>
      </c>
      <c r="C54" s="1" t="s">
        <v>1577</v>
      </c>
      <c r="D54" s="1">
        <v>81000139949</v>
      </c>
      <c r="E54" s="1" t="s">
        <v>1576</v>
      </c>
      <c r="F54" s="2">
        <f>VLOOKUP(E54,'M10B Order'!B:G,6,FALSE)</f>
        <v>0</v>
      </c>
    </row>
    <row r="55" spans="1:6" x14ac:dyDescent="0.2">
      <c r="A55" s="1" t="s">
        <v>594</v>
      </c>
      <c r="B55" s="1">
        <v>578808686</v>
      </c>
      <c r="C55" s="1" t="s">
        <v>1579</v>
      </c>
      <c r="D55" s="1">
        <v>81000139910</v>
      </c>
      <c r="E55" s="1" t="s">
        <v>1578</v>
      </c>
      <c r="F55" s="2">
        <f>VLOOKUP(E55,'M10B Order'!B:G,6,FALSE)</f>
        <v>0</v>
      </c>
    </row>
    <row r="56" spans="1:6" x14ac:dyDescent="0.2">
      <c r="A56" s="1" t="s">
        <v>594</v>
      </c>
      <c r="B56" s="1">
        <v>578808708</v>
      </c>
      <c r="C56" s="1" t="s">
        <v>1581</v>
      </c>
      <c r="D56" s="1">
        <v>81000139944</v>
      </c>
      <c r="E56" s="1" t="s">
        <v>1580</v>
      </c>
      <c r="F56" s="2">
        <f>VLOOKUP(E56,'M10B Order'!B:G,6,FALSE)</f>
        <v>0</v>
      </c>
    </row>
    <row r="57" spans="1:6" x14ac:dyDescent="0.2">
      <c r="A57" s="1" t="s">
        <v>594</v>
      </c>
      <c r="B57" s="1">
        <v>578808716</v>
      </c>
      <c r="C57" s="1" t="s">
        <v>1583</v>
      </c>
      <c r="D57" s="1">
        <v>81000139916</v>
      </c>
      <c r="E57" s="1" t="s">
        <v>1582</v>
      </c>
      <c r="F57" s="2">
        <f>VLOOKUP(E57,'M10B Order'!B:G,6,FALSE)</f>
        <v>0</v>
      </c>
    </row>
    <row r="58" spans="1:6" x14ac:dyDescent="0.2">
      <c r="A58" s="1" t="s">
        <v>594</v>
      </c>
      <c r="B58" s="1">
        <v>578808720</v>
      </c>
      <c r="C58" s="1" t="s">
        <v>1129</v>
      </c>
      <c r="D58" s="1">
        <v>81000139911</v>
      </c>
      <c r="E58" s="1" t="s">
        <v>1128</v>
      </c>
      <c r="F58" s="2">
        <f>VLOOKUP(E58,'M10B Order'!B:G,6,FALSE)</f>
        <v>0</v>
      </c>
    </row>
    <row r="59" spans="1:6" x14ac:dyDescent="0.2">
      <c r="A59" s="1" t="s">
        <v>594</v>
      </c>
      <c r="B59" s="1">
        <v>578808759</v>
      </c>
      <c r="C59" s="1" t="s">
        <v>1585</v>
      </c>
      <c r="D59" s="1">
        <v>81000139917</v>
      </c>
      <c r="E59" s="1" t="s">
        <v>1584</v>
      </c>
      <c r="F59" s="2">
        <f>VLOOKUP(E59,'M10B Order'!B:G,6,FALSE)</f>
        <v>0</v>
      </c>
    </row>
    <row r="60" spans="1:6" x14ac:dyDescent="0.2">
      <c r="A60" s="1" t="s">
        <v>594</v>
      </c>
      <c r="B60" s="1">
        <v>578808802</v>
      </c>
      <c r="C60" s="1" t="s">
        <v>1587</v>
      </c>
      <c r="D60" s="1">
        <v>81000139909</v>
      </c>
      <c r="E60" s="1" t="s">
        <v>1586</v>
      </c>
      <c r="F60" s="2">
        <f>VLOOKUP(E60,'M10B Order'!B:G,6,FALSE)</f>
        <v>0</v>
      </c>
    </row>
    <row r="61" spans="1:6" x14ac:dyDescent="0.2">
      <c r="A61" s="1" t="s">
        <v>594</v>
      </c>
      <c r="B61" s="1">
        <v>578808772</v>
      </c>
      <c r="C61" s="1" t="s">
        <v>1589</v>
      </c>
      <c r="D61" s="1">
        <v>81000139937</v>
      </c>
      <c r="E61" s="1" t="s">
        <v>1588</v>
      </c>
      <c r="F61" s="2">
        <f>VLOOKUP(E61,'M10B Order'!B:G,6,FALSE)</f>
        <v>0</v>
      </c>
    </row>
    <row r="62" spans="1:6" x14ac:dyDescent="0.2">
      <c r="A62" s="1" t="s">
        <v>594</v>
      </c>
      <c r="B62" s="1">
        <v>578808763</v>
      </c>
      <c r="C62" s="1" t="s">
        <v>1591</v>
      </c>
      <c r="D62" s="1">
        <v>81000139936</v>
      </c>
      <c r="E62" s="1" t="s">
        <v>1590</v>
      </c>
      <c r="F62" s="2">
        <f>VLOOKUP(E62,'M10B Order'!B:G,6,FALSE)</f>
        <v>0</v>
      </c>
    </row>
    <row r="63" spans="1:6" x14ac:dyDescent="0.2">
      <c r="A63" s="1" t="s">
        <v>594</v>
      </c>
      <c r="B63" s="1">
        <v>578808764</v>
      </c>
      <c r="C63" s="1" t="s">
        <v>1593</v>
      </c>
      <c r="D63" s="1">
        <v>81000139922</v>
      </c>
      <c r="E63" s="1" t="s">
        <v>1592</v>
      </c>
      <c r="F63" s="2">
        <f>VLOOKUP(E63,'M10B Order'!B:G,6,FALSE)</f>
        <v>0</v>
      </c>
    </row>
    <row r="64" spans="1:6" x14ac:dyDescent="0.2">
      <c r="A64" s="1" t="s">
        <v>594</v>
      </c>
      <c r="B64" s="1">
        <v>578808728</v>
      </c>
      <c r="C64" s="1" t="s">
        <v>1595</v>
      </c>
      <c r="D64" s="1">
        <v>81000139932</v>
      </c>
      <c r="E64" s="1" t="s">
        <v>1594</v>
      </c>
      <c r="F64" s="2">
        <f>VLOOKUP(E64,'M10B Order'!B:G,6,FALSE)</f>
        <v>0</v>
      </c>
    </row>
    <row r="65" spans="1:6" x14ac:dyDescent="0.2">
      <c r="A65" s="1" t="s">
        <v>594</v>
      </c>
      <c r="B65" s="1">
        <v>578808727</v>
      </c>
      <c r="C65" s="1" t="s">
        <v>1597</v>
      </c>
      <c r="D65" s="1">
        <v>81000139923</v>
      </c>
      <c r="E65" s="1" t="s">
        <v>1596</v>
      </c>
      <c r="F65" s="2">
        <f>VLOOKUP(E65,'M10B Order'!B:G,6,FALSE)</f>
        <v>0</v>
      </c>
    </row>
    <row r="66" spans="1:6" x14ac:dyDescent="0.2">
      <c r="A66" s="1" t="s">
        <v>594</v>
      </c>
      <c r="B66" s="1">
        <v>578808760</v>
      </c>
      <c r="C66" s="1" t="s">
        <v>1599</v>
      </c>
      <c r="D66" s="1">
        <v>81000139924</v>
      </c>
      <c r="E66" s="1" t="s">
        <v>1598</v>
      </c>
      <c r="F66" s="2">
        <f>VLOOKUP(E66,'M10B Order'!B:G,6,FALSE)</f>
        <v>0</v>
      </c>
    </row>
    <row r="67" spans="1:6" x14ac:dyDescent="0.2">
      <c r="A67" s="1" t="s">
        <v>594</v>
      </c>
      <c r="B67" s="1">
        <v>578808721</v>
      </c>
      <c r="C67" s="1" t="s">
        <v>1601</v>
      </c>
      <c r="D67" s="1">
        <v>81000139955</v>
      </c>
      <c r="E67" s="1" t="s">
        <v>1600</v>
      </c>
      <c r="F67" s="2">
        <f>VLOOKUP(E67,'M10B Order'!B:G,6,FALSE)</f>
        <v>0</v>
      </c>
    </row>
    <row r="68" spans="1:6" x14ac:dyDescent="0.2">
      <c r="A68" s="1" t="s">
        <v>594</v>
      </c>
      <c r="B68" s="1">
        <v>578808729</v>
      </c>
      <c r="C68" s="1" t="s">
        <v>1603</v>
      </c>
      <c r="D68" s="1">
        <v>81000139893</v>
      </c>
      <c r="E68" s="1" t="s">
        <v>1602</v>
      </c>
      <c r="F68" s="2">
        <f>VLOOKUP(E68,'M10B Order'!B:G,6,FALSE)</f>
        <v>0</v>
      </c>
    </row>
    <row r="69" spans="1:6" x14ac:dyDescent="0.2">
      <c r="A69" s="1" t="s">
        <v>594</v>
      </c>
      <c r="B69" s="1">
        <v>578808758</v>
      </c>
      <c r="C69" s="1" t="s">
        <v>1605</v>
      </c>
      <c r="D69" s="1">
        <v>81000139918</v>
      </c>
      <c r="E69" s="1" t="s">
        <v>1604</v>
      </c>
      <c r="F69" s="2">
        <f>VLOOKUP(E69,'M10B Order'!B:G,6,FALSE)</f>
        <v>0</v>
      </c>
    </row>
    <row r="70" spans="1:6" x14ac:dyDescent="0.2">
      <c r="A70" s="1" t="s">
        <v>594</v>
      </c>
      <c r="B70" s="1">
        <v>578808806</v>
      </c>
      <c r="C70" s="1" t="s">
        <v>1607</v>
      </c>
      <c r="D70" s="1">
        <v>81000139895</v>
      </c>
      <c r="E70" s="1" t="s">
        <v>1606</v>
      </c>
      <c r="F70" s="2">
        <f>VLOOKUP(E70,'M10B Order'!B:G,6,FALSE)</f>
        <v>0</v>
      </c>
    </row>
    <row r="71" spans="1:6" x14ac:dyDescent="0.2">
      <c r="A71" s="1" t="s">
        <v>594</v>
      </c>
      <c r="B71" s="1">
        <v>578808801</v>
      </c>
      <c r="C71" s="1" t="s">
        <v>1609</v>
      </c>
      <c r="D71" s="1">
        <v>81000139940</v>
      </c>
      <c r="E71" s="1" t="s">
        <v>1608</v>
      </c>
      <c r="F71" s="2">
        <f>VLOOKUP(E71,'M10B Order'!B:G,6,FALSE)</f>
        <v>0</v>
      </c>
    </row>
    <row r="72" spans="1:6" x14ac:dyDescent="0.2">
      <c r="A72" s="1" t="s">
        <v>594</v>
      </c>
      <c r="B72" s="1">
        <v>578808785</v>
      </c>
      <c r="C72" s="1" t="s">
        <v>1611</v>
      </c>
      <c r="D72" s="1">
        <v>81000139908</v>
      </c>
      <c r="E72" s="1" t="s">
        <v>1610</v>
      </c>
      <c r="F72" s="2">
        <f>VLOOKUP(E72,'M10B Order'!B:G,6,FALSE)</f>
        <v>0</v>
      </c>
    </row>
    <row r="73" spans="1:6" x14ac:dyDescent="0.2">
      <c r="A73" s="1" t="s">
        <v>594</v>
      </c>
      <c r="B73" s="1">
        <v>578808710</v>
      </c>
      <c r="C73" s="1" t="s">
        <v>1613</v>
      </c>
      <c r="D73" s="1">
        <v>81000139899</v>
      </c>
      <c r="E73" s="1" t="s">
        <v>1612</v>
      </c>
      <c r="F73" s="2">
        <f>VLOOKUP(E73,'M10B Order'!B:G,6,FALSE)</f>
        <v>0</v>
      </c>
    </row>
    <row r="74" spans="1:6" x14ac:dyDescent="0.2">
      <c r="A74" s="1" t="s">
        <v>594</v>
      </c>
      <c r="B74" s="1">
        <v>578808781</v>
      </c>
      <c r="C74" s="1" t="s">
        <v>1615</v>
      </c>
      <c r="D74" s="1">
        <v>81000139897</v>
      </c>
      <c r="E74" s="1" t="s">
        <v>1614</v>
      </c>
      <c r="F74" s="2">
        <f>VLOOKUP(E74,'M10B Order'!B:G,6,FALSE)</f>
        <v>0</v>
      </c>
    </row>
    <row r="75" spans="1:6" x14ac:dyDescent="0.2">
      <c r="A75" s="1" t="s">
        <v>594</v>
      </c>
      <c r="B75" s="1">
        <v>578808769</v>
      </c>
      <c r="C75" s="1" t="s">
        <v>1617</v>
      </c>
      <c r="D75" s="1">
        <v>81000139945</v>
      </c>
      <c r="E75" s="1" t="s">
        <v>1616</v>
      </c>
      <c r="F75" s="2">
        <f>VLOOKUP(E75,'M10B Order'!B:G,6,FALSE)</f>
        <v>0</v>
      </c>
    </row>
    <row r="76" spans="1:6" x14ac:dyDescent="0.2">
      <c r="A76" s="1" t="s">
        <v>594</v>
      </c>
      <c r="B76" s="1">
        <v>578808780</v>
      </c>
      <c r="C76" s="1" t="s">
        <v>1619</v>
      </c>
      <c r="D76" s="1">
        <v>81000139931</v>
      </c>
      <c r="E76" s="1" t="s">
        <v>1618</v>
      </c>
      <c r="F76" s="2">
        <f>VLOOKUP(E76,'M10B Order'!B:G,6,FALSE)</f>
        <v>0</v>
      </c>
    </row>
    <row r="77" spans="1:6" x14ac:dyDescent="0.2">
      <c r="A77" s="1" t="s">
        <v>594</v>
      </c>
      <c r="B77" s="1">
        <v>578808730</v>
      </c>
      <c r="C77" s="1" t="s">
        <v>1621</v>
      </c>
      <c r="D77" s="1">
        <v>81000139896</v>
      </c>
      <c r="E77" s="1" t="s">
        <v>1620</v>
      </c>
      <c r="F77" s="2">
        <f>VLOOKUP(E77,'M10B Order'!B:G,6,FALSE)</f>
        <v>0</v>
      </c>
    </row>
    <row r="78" spans="1:6" x14ac:dyDescent="0.2">
      <c r="A78" s="1" t="s">
        <v>594</v>
      </c>
      <c r="B78" s="1">
        <v>578808733</v>
      </c>
      <c r="C78" s="1" t="s">
        <v>1623</v>
      </c>
      <c r="D78" s="1">
        <v>81000139903</v>
      </c>
      <c r="E78" s="1" t="s">
        <v>1622</v>
      </c>
      <c r="F78" s="2">
        <f>VLOOKUP(E78,'M10B Order'!B:G,6,FALSE)</f>
        <v>0</v>
      </c>
    </row>
    <row r="79" spans="1:6" x14ac:dyDescent="0.2">
      <c r="A79" s="1" t="s">
        <v>594</v>
      </c>
      <c r="B79" s="1">
        <v>578808732</v>
      </c>
      <c r="C79" s="1" t="s">
        <v>1625</v>
      </c>
      <c r="D79" s="1">
        <v>81000139919</v>
      </c>
      <c r="E79" s="1" t="s">
        <v>1624</v>
      </c>
      <c r="F79" s="2">
        <f>VLOOKUP(E79,'M10B Order'!B:G,6,FALSE)</f>
        <v>0</v>
      </c>
    </row>
    <row r="80" spans="1:6" x14ac:dyDescent="0.2">
      <c r="A80" s="1" t="s">
        <v>594</v>
      </c>
      <c r="B80" s="1">
        <v>578808731</v>
      </c>
      <c r="C80" s="1" t="s">
        <v>1627</v>
      </c>
      <c r="D80" s="1">
        <v>81000139929</v>
      </c>
      <c r="E80" s="1" t="s">
        <v>1626</v>
      </c>
      <c r="F80" s="2">
        <f>VLOOKUP(E80,'M10B Order'!B:G,6,FALSE)</f>
        <v>0</v>
      </c>
    </row>
    <row r="81" spans="1:6" x14ac:dyDescent="0.2">
      <c r="A81" s="1" t="s">
        <v>594</v>
      </c>
      <c r="B81" s="1">
        <v>578808765</v>
      </c>
      <c r="C81" s="1" t="s">
        <v>1629</v>
      </c>
      <c r="D81" s="1">
        <v>81000139921</v>
      </c>
      <c r="E81" s="1" t="s">
        <v>1628</v>
      </c>
      <c r="F81" s="2">
        <f>VLOOKUP(E81,'M10B Order'!B:G,6,FALSE)</f>
        <v>0</v>
      </c>
    </row>
    <row r="82" spans="1:6" x14ac:dyDescent="0.2">
      <c r="A82" s="1" t="s">
        <v>594</v>
      </c>
      <c r="B82" s="1">
        <v>578808762</v>
      </c>
      <c r="C82" s="1" t="s">
        <v>1631</v>
      </c>
      <c r="D82" s="1">
        <v>81000139926</v>
      </c>
      <c r="E82" s="1" t="s">
        <v>1630</v>
      </c>
      <c r="F82" s="2">
        <f>VLOOKUP(E82,'M10B Order'!B:G,6,FALSE)</f>
        <v>0</v>
      </c>
    </row>
    <row r="83" spans="1:6" x14ac:dyDescent="0.2">
      <c r="A83" s="1" t="s">
        <v>594</v>
      </c>
      <c r="B83" s="1">
        <v>578808768</v>
      </c>
      <c r="C83" s="1" t="s">
        <v>1633</v>
      </c>
      <c r="D83" s="1">
        <v>81000139935</v>
      </c>
      <c r="E83" s="1" t="s">
        <v>1632</v>
      </c>
      <c r="F83" s="2">
        <f>VLOOKUP(E83,'M10B Order'!B:G,6,FALSE)</f>
        <v>0</v>
      </c>
    </row>
    <row r="84" spans="1:6" x14ac:dyDescent="0.2">
      <c r="A84" s="1" t="s">
        <v>594</v>
      </c>
      <c r="B84" s="1">
        <v>578808777</v>
      </c>
      <c r="C84" s="1" t="s">
        <v>1635</v>
      </c>
      <c r="D84" s="1">
        <v>81000139933</v>
      </c>
      <c r="E84" s="1" t="s">
        <v>1634</v>
      </c>
      <c r="F84" s="2">
        <f>VLOOKUP(E84,'M10B Order'!B:G,6,FALSE)</f>
        <v>0</v>
      </c>
    </row>
    <row r="85" spans="1:6" x14ac:dyDescent="0.2">
      <c r="A85" s="1" t="s">
        <v>594</v>
      </c>
      <c r="B85" s="1">
        <v>578808793</v>
      </c>
      <c r="C85" s="1" t="s">
        <v>1637</v>
      </c>
      <c r="D85" s="1">
        <v>81000139906</v>
      </c>
      <c r="E85" s="1" t="s">
        <v>1636</v>
      </c>
      <c r="F85" s="2">
        <f>VLOOKUP(E85,'M10B Order'!B:G,6,FALSE)</f>
        <v>0</v>
      </c>
    </row>
    <row r="86" spans="1:6" x14ac:dyDescent="0.2">
      <c r="A86" s="1" t="s">
        <v>594</v>
      </c>
      <c r="B86" s="1">
        <v>578808782</v>
      </c>
      <c r="C86" s="1" t="s">
        <v>1639</v>
      </c>
      <c r="D86" s="1">
        <v>81000139956</v>
      </c>
      <c r="E86" s="1" t="s">
        <v>1638</v>
      </c>
      <c r="F86" s="2">
        <f>VLOOKUP(E86,'M10B Order'!B:G,6,FALSE)</f>
        <v>0</v>
      </c>
    </row>
    <row r="87" spans="1:6" x14ac:dyDescent="0.2">
      <c r="A87" s="1" t="s">
        <v>594</v>
      </c>
      <c r="B87" s="1">
        <v>578808775</v>
      </c>
      <c r="C87" s="1" t="s">
        <v>1641</v>
      </c>
      <c r="D87" s="1">
        <v>81000139927</v>
      </c>
      <c r="E87" s="1" t="s">
        <v>1640</v>
      </c>
      <c r="F87" s="2">
        <f>VLOOKUP(E87,'M10B Order'!B:G,6,FALSE)</f>
        <v>0</v>
      </c>
    </row>
    <row r="88" spans="1:6" x14ac:dyDescent="0.2">
      <c r="A88" s="1" t="s">
        <v>594</v>
      </c>
      <c r="B88" s="1">
        <v>578808783</v>
      </c>
      <c r="C88" s="1" t="s">
        <v>1643</v>
      </c>
      <c r="D88" s="1">
        <v>81000139951</v>
      </c>
      <c r="E88" s="1" t="s">
        <v>1642</v>
      </c>
      <c r="F88" s="2">
        <f>VLOOKUP(E88,'M10B Order'!B:G,6,FALSE)</f>
        <v>0</v>
      </c>
    </row>
    <row r="89" spans="1:6" x14ac:dyDescent="0.2">
      <c r="A89" s="1" t="s">
        <v>594</v>
      </c>
      <c r="B89" s="1">
        <v>578808791</v>
      </c>
      <c r="C89" s="1" t="s">
        <v>1645</v>
      </c>
      <c r="D89" s="1">
        <v>81000139898</v>
      </c>
      <c r="E89" s="1" t="s">
        <v>1644</v>
      </c>
      <c r="F89" s="2">
        <f>VLOOKUP(E89,'M10B Order'!B:G,6,FALSE)</f>
        <v>0</v>
      </c>
    </row>
    <row r="90" spans="1:6" x14ac:dyDescent="0.2">
      <c r="A90" s="1" t="s">
        <v>594</v>
      </c>
      <c r="B90" s="1">
        <v>578808792</v>
      </c>
      <c r="C90" s="1" t="s">
        <v>1647</v>
      </c>
      <c r="D90" s="1">
        <v>81000139954</v>
      </c>
      <c r="E90" s="1" t="s">
        <v>1646</v>
      </c>
      <c r="F90" s="2">
        <f>VLOOKUP(E90,'M10B Order'!B:G,6,FALSE)</f>
        <v>0</v>
      </c>
    </row>
    <row r="91" spans="1:6" x14ac:dyDescent="0.2">
      <c r="A91" s="1" t="s">
        <v>594</v>
      </c>
      <c r="B91" s="1">
        <v>578808770</v>
      </c>
      <c r="C91" s="1" t="s">
        <v>1127</v>
      </c>
      <c r="D91" s="1">
        <v>81000139905</v>
      </c>
      <c r="E91" s="1" t="s">
        <v>1126</v>
      </c>
      <c r="F91" s="2">
        <f>VLOOKUP(E91,'M10B Order'!B:G,6,FALSE)</f>
        <v>0</v>
      </c>
    </row>
    <row r="92" spans="1:6" x14ac:dyDescent="0.2">
      <c r="A92" s="1" t="s">
        <v>594</v>
      </c>
      <c r="B92" s="1">
        <v>578808776</v>
      </c>
      <c r="C92" s="1" t="s">
        <v>1649</v>
      </c>
      <c r="D92" s="1">
        <v>81000139901</v>
      </c>
      <c r="E92" s="1" t="s">
        <v>1648</v>
      </c>
      <c r="F92" s="2">
        <f>VLOOKUP(E92,'M10B Order'!B:G,6,FALSE)</f>
        <v>0</v>
      </c>
    </row>
    <row r="93" spans="1:6" x14ac:dyDescent="0.2">
      <c r="A93" s="1" t="s">
        <v>594</v>
      </c>
      <c r="B93" s="1">
        <v>578808734</v>
      </c>
      <c r="C93" s="1" t="s">
        <v>1651</v>
      </c>
      <c r="D93" s="1">
        <v>81000139925</v>
      </c>
      <c r="E93" s="1" t="s">
        <v>1650</v>
      </c>
      <c r="F93" s="2">
        <f>VLOOKUP(E93,'M10B Order'!B:G,6,FALSE)</f>
        <v>0</v>
      </c>
    </row>
    <row r="94" spans="1:6" x14ac:dyDescent="0.2">
      <c r="A94" s="1" t="s">
        <v>594</v>
      </c>
      <c r="B94" s="1">
        <v>578808784</v>
      </c>
      <c r="C94" s="1" t="s">
        <v>1653</v>
      </c>
      <c r="D94" s="1">
        <v>81000139939</v>
      </c>
      <c r="E94" s="1" t="s">
        <v>1652</v>
      </c>
      <c r="F94" s="2">
        <f>VLOOKUP(E94,'M10B Order'!B:G,6,FALSE)</f>
        <v>0</v>
      </c>
    </row>
    <row r="95" spans="1:6" x14ac:dyDescent="0.2">
      <c r="A95" s="1" t="s">
        <v>594</v>
      </c>
      <c r="B95" s="1">
        <v>578808771</v>
      </c>
      <c r="C95" s="1" t="s">
        <v>1133</v>
      </c>
      <c r="D95" s="1">
        <v>81000139920</v>
      </c>
      <c r="E95" s="1" t="s">
        <v>1132</v>
      </c>
      <c r="F95" s="2">
        <f>VLOOKUP(E95,'M10B Order'!B:G,6,FALSE)</f>
        <v>0</v>
      </c>
    </row>
    <row r="96" spans="1:6" x14ac:dyDescent="0.2">
      <c r="A96" s="1" t="s">
        <v>594</v>
      </c>
      <c r="B96" s="1">
        <v>578808766</v>
      </c>
      <c r="C96" s="1" t="s">
        <v>1125</v>
      </c>
      <c r="D96" s="1">
        <v>81000139914</v>
      </c>
      <c r="E96" s="1" t="s">
        <v>1124</v>
      </c>
      <c r="F96" s="2">
        <f>VLOOKUP(E96,'M10B Order'!B:G,6,FALSE)</f>
        <v>0</v>
      </c>
    </row>
    <row r="97" spans="1:6" x14ac:dyDescent="0.2">
      <c r="A97" s="1" t="s">
        <v>594</v>
      </c>
      <c r="B97" s="1">
        <v>578808774</v>
      </c>
      <c r="C97" s="1" t="s">
        <v>1655</v>
      </c>
      <c r="D97" s="1">
        <v>81000139952</v>
      </c>
      <c r="E97" s="1" t="s">
        <v>1654</v>
      </c>
      <c r="F97" s="2">
        <f>VLOOKUP(E97,'M10B Order'!B:G,6,FALSE)</f>
        <v>0</v>
      </c>
    </row>
    <row r="98" spans="1:6" x14ac:dyDescent="0.2">
      <c r="A98" s="1" t="s">
        <v>594</v>
      </c>
      <c r="B98" s="1">
        <v>578808805</v>
      </c>
      <c r="C98" s="1" t="s">
        <v>1657</v>
      </c>
      <c r="D98" s="1">
        <v>81000139953</v>
      </c>
      <c r="E98" s="1" t="s">
        <v>1656</v>
      </c>
      <c r="F98" s="2">
        <f>VLOOKUP(E98,'M10B Order'!B:G,6,FALSE)</f>
        <v>0</v>
      </c>
    </row>
    <row r="99" spans="1:6" x14ac:dyDescent="0.2">
      <c r="A99" s="1" t="s">
        <v>594</v>
      </c>
      <c r="B99" s="1">
        <v>578808804</v>
      </c>
      <c r="C99" s="1" t="s">
        <v>1659</v>
      </c>
      <c r="D99" s="1">
        <v>81000139930</v>
      </c>
      <c r="E99" s="1" t="s">
        <v>1658</v>
      </c>
      <c r="F99" s="2">
        <f>VLOOKUP(E99,'M10B Order'!B:G,6,FALSE)</f>
        <v>0</v>
      </c>
    </row>
    <row r="100" spans="1:6" x14ac:dyDescent="0.2">
      <c r="A100" s="1" t="s">
        <v>594</v>
      </c>
      <c r="B100" s="1">
        <v>578808797</v>
      </c>
      <c r="C100" s="1" t="s">
        <v>1661</v>
      </c>
      <c r="D100" s="1">
        <v>81000139904</v>
      </c>
      <c r="E100" s="1" t="s">
        <v>1660</v>
      </c>
      <c r="F100" s="2">
        <f>VLOOKUP(E100,'M10B Order'!B:G,6,FALSE)</f>
        <v>0</v>
      </c>
    </row>
    <row r="101" spans="1:6" x14ac:dyDescent="0.2">
      <c r="A101" s="1" t="s">
        <v>594</v>
      </c>
      <c r="B101" s="1">
        <v>578808796</v>
      </c>
      <c r="C101" s="1" t="s">
        <v>1663</v>
      </c>
      <c r="D101" s="1">
        <v>81000139894</v>
      </c>
      <c r="E101" s="1" t="s">
        <v>1662</v>
      </c>
      <c r="F101" s="2">
        <f>VLOOKUP(E101,'M10B Order'!B:G,6,FALSE)</f>
        <v>0</v>
      </c>
    </row>
    <row r="102" spans="1:6" x14ac:dyDescent="0.2">
      <c r="A102" s="1" t="s">
        <v>1473</v>
      </c>
      <c r="B102" s="1">
        <v>578808748</v>
      </c>
      <c r="C102" s="1" t="s">
        <v>1475</v>
      </c>
      <c r="D102" s="1">
        <v>81000139892</v>
      </c>
      <c r="E102" s="1" t="s">
        <v>1474</v>
      </c>
      <c r="F102" s="2">
        <f>VLOOKUP(E102,'M10B Order'!B:G,6,FALSE)</f>
        <v>0</v>
      </c>
    </row>
    <row r="103" spans="1:6" x14ac:dyDescent="0.2">
      <c r="A103" s="1" t="s">
        <v>1473</v>
      </c>
      <c r="B103" s="1">
        <v>578808739</v>
      </c>
      <c r="C103" s="1" t="s">
        <v>1477</v>
      </c>
      <c r="D103" s="1">
        <v>81000139890</v>
      </c>
      <c r="E103" s="1" t="s">
        <v>1476</v>
      </c>
      <c r="F103" s="2">
        <f>VLOOKUP(E103,'M10B Order'!B:G,6,FALSE)</f>
        <v>0</v>
      </c>
    </row>
    <row r="104" spans="1:6" x14ac:dyDescent="0.2">
      <c r="A104" s="1" t="s">
        <v>1473</v>
      </c>
      <c r="B104" s="1">
        <v>578808707</v>
      </c>
      <c r="C104" s="1" t="s">
        <v>1479</v>
      </c>
      <c r="D104" s="1">
        <v>81000139891</v>
      </c>
      <c r="E104" s="1" t="s">
        <v>1478</v>
      </c>
      <c r="F104" s="2">
        <f>VLOOKUP(E104,'M10B Order'!B:G,6,FALSE)</f>
        <v>0</v>
      </c>
    </row>
    <row r="105" spans="1:6" x14ac:dyDescent="0.2">
      <c r="A105" s="1" t="s">
        <v>436</v>
      </c>
      <c r="B105" s="1">
        <v>558137517</v>
      </c>
      <c r="C105" s="1" t="s">
        <v>471</v>
      </c>
      <c r="D105" s="1">
        <v>81446902804</v>
      </c>
      <c r="E105" s="1" t="s">
        <v>472</v>
      </c>
      <c r="F105" s="2">
        <f>VLOOKUP(E105,'M10B Order'!B:G,6,FALSE)</f>
        <v>0</v>
      </c>
    </row>
    <row r="106" spans="1:6" x14ac:dyDescent="0.2">
      <c r="A106" s="1" t="s">
        <v>436</v>
      </c>
      <c r="B106" s="1">
        <v>558137525</v>
      </c>
      <c r="C106" s="1" t="s">
        <v>469</v>
      </c>
      <c r="D106" s="1">
        <v>81446902741</v>
      </c>
      <c r="E106" s="1" t="s">
        <v>470</v>
      </c>
      <c r="F106" s="2">
        <f>VLOOKUP(E106,'M10B Order'!B:G,6,FALSE)</f>
        <v>0</v>
      </c>
    </row>
    <row r="107" spans="1:6" x14ac:dyDescent="0.2">
      <c r="A107" s="1" t="s">
        <v>436</v>
      </c>
      <c r="B107" s="1">
        <v>558137516</v>
      </c>
      <c r="C107" s="1" t="s">
        <v>455</v>
      </c>
      <c r="D107" s="1">
        <v>81446902826</v>
      </c>
      <c r="E107" s="1" t="s">
        <v>456</v>
      </c>
      <c r="F107" s="2">
        <f>VLOOKUP(E107,'M10B Order'!B:G,6,FALSE)</f>
        <v>0</v>
      </c>
    </row>
    <row r="108" spans="1:6" x14ac:dyDescent="0.2">
      <c r="A108" s="1" t="s">
        <v>436</v>
      </c>
      <c r="B108" s="1">
        <v>558137501</v>
      </c>
      <c r="C108" s="1" t="s">
        <v>477</v>
      </c>
      <c r="D108" s="1">
        <v>81446902735</v>
      </c>
      <c r="E108" s="1" t="s">
        <v>478</v>
      </c>
      <c r="F108" s="2">
        <f>VLOOKUP(E108,'M10B Order'!B:G,6,FALSE)</f>
        <v>0</v>
      </c>
    </row>
    <row r="109" spans="1:6" x14ac:dyDescent="0.2">
      <c r="A109" s="1" t="s">
        <v>436</v>
      </c>
      <c r="B109" s="1">
        <v>558137507</v>
      </c>
      <c r="C109" s="1" t="s">
        <v>465</v>
      </c>
      <c r="D109" s="1">
        <v>81446902691</v>
      </c>
      <c r="E109" s="1" t="s">
        <v>466</v>
      </c>
      <c r="F109" s="2">
        <f>VLOOKUP(E109,'M10B Order'!B:G,6,FALSE)</f>
        <v>0</v>
      </c>
    </row>
    <row r="110" spans="1:6" x14ac:dyDescent="0.2">
      <c r="A110" s="1" t="s">
        <v>436</v>
      </c>
      <c r="B110" s="1">
        <v>558137522</v>
      </c>
      <c r="C110" s="1" t="s">
        <v>451</v>
      </c>
      <c r="D110" s="1">
        <v>81446902800</v>
      </c>
      <c r="E110" s="1" t="s">
        <v>452</v>
      </c>
      <c r="F110" s="2">
        <f>VLOOKUP(E110,'M10B Order'!B:G,6,FALSE)</f>
        <v>0</v>
      </c>
    </row>
    <row r="111" spans="1:6" x14ac:dyDescent="0.2">
      <c r="A111" s="1" t="s">
        <v>436</v>
      </c>
      <c r="B111" s="1">
        <v>558137513</v>
      </c>
      <c r="C111" s="1" t="s">
        <v>467</v>
      </c>
      <c r="D111" s="1">
        <v>81446902675</v>
      </c>
      <c r="E111" s="1" t="s">
        <v>468</v>
      </c>
      <c r="F111" s="2">
        <f>VLOOKUP(E111,'M10B Order'!B:G,6,FALSE)</f>
        <v>0</v>
      </c>
    </row>
    <row r="112" spans="1:6" x14ac:dyDescent="0.2">
      <c r="A112" s="1" t="s">
        <v>436</v>
      </c>
      <c r="B112" s="1">
        <v>558137503</v>
      </c>
      <c r="C112" s="1" t="s">
        <v>473</v>
      </c>
      <c r="D112" s="1">
        <v>81446902806</v>
      </c>
      <c r="E112" s="1" t="s">
        <v>474</v>
      </c>
      <c r="F112" s="2">
        <f>VLOOKUP(E112,'M10B Order'!B:G,6,FALSE)</f>
        <v>0</v>
      </c>
    </row>
    <row r="113" spans="1:6" x14ac:dyDescent="0.2">
      <c r="A113" s="1" t="s">
        <v>436</v>
      </c>
      <c r="B113" s="1">
        <v>558137509</v>
      </c>
      <c r="C113" s="1" t="s">
        <v>475</v>
      </c>
      <c r="D113" s="1">
        <v>81446902737</v>
      </c>
      <c r="E113" s="1" t="s">
        <v>476</v>
      </c>
      <c r="F113" s="2">
        <f>VLOOKUP(E113,'M10B Order'!B:G,6,FALSE)</f>
        <v>0</v>
      </c>
    </row>
    <row r="114" spans="1:6" x14ac:dyDescent="0.2">
      <c r="A114" s="1" t="s">
        <v>436</v>
      </c>
      <c r="B114" s="1">
        <v>558137496</v>
      </c>
      <c r="C114" s="1" t="s">
        <v>437</v>
      </c>
      <c r="D114" s="1">
        <v>81446902738</v>
      </c>
      <c r="E114" s="1" t="s">
        <v>438</v>
      </c>
      <c r="F114" s="2">
        <f>VLOOKUP(E114,'M10B Order'!B:G,6,FALSE)</f>
        <v>0</v>
      </c>
    </row>
    <row r="115" spans="1:6" x14ac:dyDescent="0.2">
      <c r="A115" s="1" t="s">
        <v>436</v>
      </c>
      <c r="B115" s="1">
        <v>558137524</v>
      </c>
      <c r="C115" s="1" t="s">
        <v>439</v>
      </c>
      <c r="D115" s="1">
        <v>81446902744</v>
      </c>
      <c r="E115" s="1" t="s">
        <v>440</v>
      </c>
      <c r="F115" s="2">
        <f>VLOOKUP(E115,'M10B Order'!B:G,6,FALSE)</f>
        <v>0</v>
      </c>
    </row>
    <row r="116" spans="1:6" x14ac:dyDescent="0.2">
      <c r="A116" s="1" t="s">
        <v>436</v>
      </c>
      <c r="B116" s="1">
        <v>558137521</v>
      </c>
      <c r="C116" s="1" t="s">
        <v>441</v>
      </c>
      <c r="D116" s="1">
        <v>81446902690</v>
      </c>
      <c r="E116" s="1" t="s">
        <v>442</v>
      </c>
      <c r="F116" s="2">
        <f>VLOOKUP(E116,'M10B Order'!B:G,6,FALSE)</f>
        <v>0</v>
      </c>
    </row>
    <row r="117" spans="1:6" x14ac:dyDescent="0.2">
      <c r="A117" s="1" t="s">
        <v>436</v>
      </c>
      <c r="B117" s="1">
        <v>558137519</v>
      </c>
      <c r="C117" s="1" t="s">
        <v>443</v>
      </c>
      <c r="D117" s="1">
        <v>81446902689</v>
      </c>
      <c r="E117" s="1" t="s">
        <v>444</v>
      </c>
      <c r="F117" s="2">
        <f>VLOOKUP(E117,'M10B Order'!B:G,6,FALSE)</f>
        <v>0</v>
      </c>
    </row>
    <row r="118" spans="1:6" x14ac:dyDescent="0.2">
      <c r="A118" s="1" t="s">
        <v>436</v>
      </c>
      <c r="B118" s="1">
        <v>558137518</v>
      </c>
      <c r="C118" s="1" t="s">
        <v>445</v>
      </c>
      <c r="D118" s="1">
        <v>81446902679</v>
      </c>
      <c r="E118" s="1" t="s">
        <v>446</v>
      </c>
      <c r="F118" s="2">
        <f>VLOOKUP(E118,'M10B Order'!B:G,6,FALSE)</f>
        <v>0</v>
      </c>
    </row>
    <row r="119" spans="1:6" x14ac:dyDescent="0.2">
      <c r="A119" s="1" t="s">
        <v>436</v>
      </c>
      <c r="B119" s="1">
        <v>558137505</v>
      </c>
      <c r="C119" s="1" t="s">
        <v>447</v>
      </c>
      <c r="D119" s="1">
        <v>81446902685</v>
      </c>
      <c r="E119" s="1" t="s">
        <v>448</v>
      </c>
      <c r="F119" s="2">
        <f>VLOOKUP(E119,'M10B Order'!B:G,6,FALSE)</f>
        <v>0</v>
      </c>
    </row>
    <row r="120" spans="1:6" x14ac:dyDescent="0.2">
      <c r="A120" s="1" t="s">
        <v>436</v>
      </c>
      <c r="B120" s="1">
        <v>558137504</v>
      </c>
      <c r="C120" s="1" t="s">
        <v>449</v>
      </c>
      <c r="D120" s="1">
        <v>81446902684</v>
      </c>
      <c r="E120" s="1" t="s">
        <v>450</v>
      </c>
      <c r="F120" s="2">
        <f>VLOOKUP(E120,'M10B Order'!B:G,6,FALSE)</f>
        <v>0</v>
      </c>
    </row>
    <row r="121" spans="1:6" x14ac:dyDescent="0.2">
      <c r="A121" s="1" t="s">
        <v>436</v>
      </c>
      <c r="B121" s="1">
        <v>558137515</v>
      </c>
      <c r="C121" s="1" t="s">
        <v>453</v>
      </c>
      <c r="D121" s="1">
        <v>81446902681</v>
      </c>
      <c r="E121" s="1" t="s">
        <v>454</v>
      </c>
      <c r="F121" s="2">
        <f>VLOOKUP(E121,'M10B Order'!B:G,6,FALSE)</f>
        <v>0</v>
      </c>
    </row>
    <row r="122" spans="1:6" x14ac:dyDescent="0.2">
      <c r="A122" s="1" t="s">
        <v>436</v>
      </c>
      <c r="B122" s="1">
        <v>558137512</v>
      </c>
      <c r="C122" s="1" t="s">
        <v>457</v>
      </c>
      <c r="D122" s="1">
        <v>81446902688</v>
      </c>
      <c r="E122" s="1" t="s">
        <v>458</v>
      </c>
      <c r="F122" s="2">
        <f>VLOOKUP(E122,'M10B Order'!B:G,6,FALSE)</f>
        <v>0</v>
      </c>
    </row>
    <row r="123" spans="1:6" x14ac:dyDescent="0.2">
      <c r="A123" s="1" t="s">
        <v>436</v>
      </c>
      <c r="B123" s="1">
        <v>558137510</v>
      </c>
      <c r="C123" s="1" t="s">
        <v>459</v>
      </c>
      <c r="D123" s="1">
        <v>81446902683</v>
      </c>
      <c r="E123" s="1" t="s">
        <v>460</v>
      </c>
      <c r="F123" s="2">
        <f>VLOOKUP(E123,'M10B Order'!B:G,6,FALSE)</f>
        <v>0</v>
      </c>
    </row>
    <row r="124" spans="1:6" x14ac:dyDescent="0.2">
      <c r="A124" s="1" t="s">
        <v>436</v>
      </c>
      <c r="B124" s="1">
        <v>558137523</v>
      </c>
      <c r="C124" s="1" t="s">
        <v>461</v>
      </c>
      <c r="D124" s="1">
        <v>81446902676</v>
      </c>
      <c r="E124" s="1" t="s">
        <v>462</v>
      </c>
      <c r="F124" s="2">
        <f>VLOOKUP(E124,'M10B Order'!B:G,6,FALSE)</f>
        <v>0</v>
      </c>
    </row>
    <row r="125" spans="1:6" x14ac:dyDescent="0.2">
      <c r="A125" s="1" t="s">
        <v>436</v>
      </c>
      <c r="B125" s="1">
        <v>558137508</v>
      </c>
      <c r="C125" s="1" t="s">
        <v>463</v>
      </c>
      <c r="D125" s="1">
        <v>81446902687</v>
      </c>
      <c r="E125" s="1" t="s">
        <v>464</v>
      </c>
      <c r="F125" s="2">
        <f>VLOOKUP(E125,'M10B Order'!B:G,6,FALSE)</f>
        <v>0</v>
      </c>
    </row>
    <row r="126" spans="1:6" x14ac:dyDescent="0.2">
      <c r="A126" s="1" t="s">
        <v>436</v>
      </c>
      <c r="B126" s="1">
        <v>558137498</v>
      </c>
      <c r="C126" s="1" t="s">
        <v>479</v>
      </c>
      <c r="D126" s="1">
        <v>81446902736</v>
      </c>
      <c r="E126" s="1" t="s">
        <v>480</v>
      </c>
      <c r="F126" s="2">
        <f>VLOOKUP(E126,'M10B Order'!B:G,6,FALSE)</f>
        <v>0</v>
      </c>
    </row>
    <row r="127" spans="1:6" x14ac:dyDescent="0.2">
      <c r="A127" s="1" t="s">
        <v>436</v>
      </c>
      <c r="B127" s="1">
        <v>558137497</v>
      </c>
      <c r="C127" s="1" t="s">
        <v>481</v>
      </c>
      <c r="D127" s="1">
        <v>81446902734</v>
      </c>
      <c r="E127" s="1" t="s">
        <v>482</v>
      </c>
      <c r="F127" s="2">
        <f>VLOOKUP(E127,'M10B Order'!B:G,6,FALSE)</f>
        <v>0</v>
      </c>
    </row>
    <row r="128" spans="1:6" x14ac:dyDescent="0.2">
      <c r="A128" s="1" t="s">
        <v>436</v>
      </c>
      <c r="B128" s="1">
        <v>558137511</v>
      </c>
      <c r="C128" s="1" t="s">
        <v>483</v>
      </c>
      <c r="D128" s="1">
        <v>81446902807</v>
      </c>
      <c r="E128" s="1" t="s">
        <v>484</v>
      </c>
      <c r="F128" s="2">
        <f>VLOOKUP(E128,'M10B Order'!B:G,6,FALSE)</f>
        <v>0</v>
      </c>
    </row>
    <row r="129" spans="1:6" x14ac:dyDescent="0.2">
      <c r="A129" s="1" t="s">
        <v>1018</v>
      </c>
      <c r="B129" s="1">
        <v>573626663</v>
      </c>
      <c r="C129" s="1" t="s">
        <v>1038</v>
      </c>
      <c r="D129" s="1">
        <v>81000139048</v>
      </c>
      <c r="E129" s="1" t="s">
        <v>1037</v>
      </c>
      <c r="F129" s="2">
        <f>VLOOKUP(E129,'M10B Order'!B:G,6,FALSE)</f>
        <v>0</v>
      </c>
    </row>
    <row r="130" spans="1:6" x14ac:dyDescent="0.2">
      <c r="A130" s="1" t="s">
        <v>1018</v>
      </c>
      <c r="B130" s="1">
        <v>573626645</v>
      </c>
      <c r="C130" s="1" t="s">
        <v>1036</v>
      </c>
      <c r="D130" s="1">
        <v>81000139051</v>
      </c>
      <c r="E130" s="1" t="s">
        <v>1035</v>
      </c>
      <c r="F130" s="2">
        <f>VLOOKUP(E130,'M10B Order'!B:G,6,FALSE)</f>
        <v>0</v>
      </c>
    </row>
    <row r="131" spans="1:6" x14ac:dyDescent="0.2">
      <c r="A131" s="1" t="s">
        <v>1018</v>
      </c>
      <c r="B131" s="1">
        <v>573626644</v>
      </c>
      <c r="C131" s="1" t="s">
        <v>1034</v>
      </c>
      <c r="D131" s="1">
        <v>81000139046</v>
      </c>
      <c r="E131" s="1" t="s">
        <v>1033</v>
      </c>
      <c r="F131" s="2">
        <f>VLOOKUP(E131,'M10B Order'!B:G,6,FALSE)</f>
        <v>0</v>
      </c>
    </row>
    <row r="132" spans="1:6" x14ac:dyDescent="0.2">
      <c r="A132" s="1" t="s">
        <v>1018</v>
      </c>
      <c r="B132" s="1">
        <v>573626665</v>
      </c>
      <c r="C132" s="1" t="s">
        <v>1032</v>
      </c>
      <c r="D132" s="1">
        <v>81000139037</v>
      </c>
      <c r="E132" s="1" t="s">
        <v>1031</v>
      </c>
      <c r="F132" s="2">
        <f>VLOOKUP(E132,'M10B Order'!B:G,6,FALSE)</f>
        <v>0</v>
      </c>
    </row>
    <row r="133" spans="1:6" x14ac:dyDescent="0.2">
      <c r="A133" s="1" t="s">
        <v>1018</v>
      </c>
      <c r="B133" s="1">
        <v>573626592</v>
      </c>
      <c r="C133" s="1" t="s">
        <v>1030</v>
      </c>
      <c r="D133" s="1">
        <v>81000139035</v>
      </c>
      <c r="E133" s="1" t="s">
        <v>1029</v>
      </c>
      <c r="F133" s="2">
        <f>VLOOKUP(E133,'M10B Order'!B:G,6,FALSE)</f>
        <v>0</v>
      </c>
    </row>
    <row r="134" spans="1:6" x14ac:dyDescent="0.2">
      <c r="A134" s="1" t="s">
        <v>1018</v>
      </c>
      <c r="B134" s="1">
        <v>573626570</v>
      </c>
      <c r="C134" s="1" t="s">
        <v>1028</v>
      </c>
      <c r="D134" s="1">
        <v>81000139038</v>
      </c>
      <c r="E134" s="1" t="s">
        <v>1027</v>
      </c>
      <c r="F134" s="2">
        <f>VLOOKUP(E134,'M10B Order'!B:G,6,FALSE)</f>
        <v>0</v>
      </c>
    </row>
    <row r="135" spans="1:6" x14ac:dyDescent="0.2">
      <c r="A135" s="1" t="s">
        <v>1018</v>
      </c>
      <c r="B135" s="1">
        <v>573626515</v>
      </c>
      <c r="C135" s="1" t="s">
        <v>1026</v>
      </c>
      <c r="D135" s="1">
        <v>81000139044</v>
      </c>
      <c r="E135" s="1" t="s">
        <v>1025</v>
      </c>
      <c r="F135" s="2">
        <f>VLOOKUP(E135,'M10B Order'!B:G,6,FALSE)</f>
        <v>0</v>
      </c>
    </row>
    <row r="136" spans="1:6" x14ac:dyDescent="0.2">
      <c r="A136" s="1" t="s">
        <v>1018</v>
      </c>
      <c r="B136" s="1">
        <v>573626563</v>
      </c>
      <c r="C136" s="1" t="s">
        <v>1024</v>
      </c>
      <c r="D136" s="1">
        <v>81000139043</v>
      </c>
      <c r="E136" s="1" t="s">
        <v>1023</v>
      </c>
      <c r="F136" s="2">
        <f>VLOOKUP(E136,'M10B Order'!B:G,6,FALSE)</f>
        <v>0</v>
      </c>
    </row>
    <row r="137" spans="1:6" x14ac:dyDescent="0.2">
      <c r="A137" s="1" t="s">
        <v>1018</v>
      </c>
      <c r="B137" s="1">
        <v>573626528</v>
      </c>
      <c r="C137" s="1" t="s">
        <v>1022</v>
      </c>
      <c r="D137" s="1">
        <v>81000139050</v>
      </c>
      <c r="E137" s="1" t="s">
        <v>1021</v>
      </c>
      <c r="F137" s="2">
        <f>VLOOKUP(E137,'M10B Order'!B:G,6,FALSE)</f>
        <v>0</v>
      </c>
    </row>
    <row r="138" spans="1:6" x14ac:dyDescent="0.2">
      <c r="A138" s="1" t="s">
        <v>1018</v>
      </c>
      <c r="B138" s="1">
        <v>573626529</v>
      </c>
      <c r="C138" s="1" t="s">
        <v>1020</v>
      </c>
      <c r="D138" s="1">
        <v>81000139045</v>
      </c>
      <c r="E138" s="1" t="s">
        <v>1019</v>
      </c>
      <c r="F138" s="2">
        <f>VLOOKUP(E138,'M10B Order'!B:G,6,FALSE)</f>
        <v>0</v>
      </c>
    </row>
    <row r="139" spans="1:6" x14ac:dyDescent="0.2">
      <c r="A139" s="1" t="s">
        <v>363</v>
      </c>
      <c r="B139" s="1">
        <v>554919787</v>
      </c>
      <c r="C139" s="1" t="s">
        <v>434</v>
      </c>
      <c r="D139" s="1">
        <v>81109801044</v>
      </c>
      <c r="E139" s="1" t="s">
        <v>286</v>
      </c>
      <c r="F139" s="2">
        <f>VLOOKUP(E139,'M10B Order'!B:G,6,FALSE)</f>
        <v>0</v>
      </c>
    </row>
    <row r="140" spans="1:6" x14ac:dyDescent="0.2">
      <c r="A140" s="1" t="s">
        <v>363</v>
      </c>
      <c r="B140" s="1">
        <v>554919791</v>
      </c>
      <c r="C140" s="1" t="s">
        <v>435</v>
      </c>
      <c r="D140" s="1">
        <v>81109801060</v>
      </c>
      <c r="E140" s="1" t="s">
        <v>278</v>
      </c>
      <c r="F140" s="2">
        <f>VLOOKUP(E140,'M10B Order'!B:G,6,FALSE)</f>
        <v>0</v>
      </c>
    </row>
    <row r="141" spans="1:6" x14ac:dyDescent="0.2">
      <c r="A141" s="1" t="s">
        <v>363</v>
      </c>
      <c r="B141" s="1">
        <v>554919783</v>
      </c>
      <c r="C141" s="1" t="s">
        <v>205</v>
      </c>
      <c r="D141" s="1">
        <v>81109801051</v>
      </c>
      <c r="E141" s="1" t="s">
        <v>206</v>
      </c>
      <c r="F141" s="2">
        <f>VLOOKUP(E141,'M10B Order'!B:G,6,FALSE)</f>
        <v>0</v>
      </c>
    </row>
    <row r="142" spans="1:6" x14ac:dyDescent="0.2">
      <c r="A142" s="1" t="s">
        <v>363</v>
      </c>
      <c r="B142" s="1">
        <v>554919739</v>
      </c>
      <c r="C142" s="1" t="s">
        <v>309</v>
      </c>
      <c r="D142" s="1">
        <v>81109801037</v>
      </c>
      <c r="E142" s="1" t="s">
        <v>310</v>
      </c>
      <c r="F142" s="2">
        <f>VLOOKUP(E142,'M10B Order'!B:G,6,FALSE)</f>
        <v>0</v>
      </c>
    </row>
    <row r="143" spans="1:6" x14ac:dyDescent="0.2">
      <c r="A143" s="1" t="s">
        <v>363</v>
      </c>
      <c r="B143" s="1">
        <v>554919772</v>
      </c>
      <c r="C143" s="1" t="s">
        <v>281</v>
      </c>
      <c r="D143" s="1">
        <v>81109801034</v>
      </c>
      <c r="E143" s="1" t="s">
        <v>282</v>
      </c>
      <c r="F143" s="2">
        <f>VLOOKUP(E143,'M10B Order'!B:G,6,FALSE)</f>
        <v>0</v>
      </c>
    </row>
    <row r="144" spans="1:6" x14ac:dyDescent="0.2">
      <c r="A144" s="1" t="s">
        <v>363</v>
      </c>
      <c r="B144" s="1">
        <v>554919724</v>
      </c>
      <c r="C144" s="1" t="s">
        <v>252</v>
      </c>
      <c r="D144" s="1">
        <v>81109801016</v>
      </c>
      <c r="E144" s="1" t="s">
        <v>253</v>
      </c>
      <c r="F144" s="2">
        <f>VLOOKUP(E144,'M10B Order'!B:G,6,FALSE)</f>
        <v>0</v>
      </c>
    </row>
    <row r="145" spans="1:6" x14ac:dyDescent="0.2">
      <c r="A145" s="1" t="s">
        <v>363</v>
      </c>
      <c r="B145" s="1">
        <v>554919794</v>
      </c>
      <c r="C145" s="1" t="s">
        <v>433</v>
      </c>
      <c r="D145" s="1">
        <v>81109801064</v>
      </c>
      <c r="E145" s="1" t="s">
        <v>334</v>
      </c>
      <c r="F145" s="2">
        <f>VLOOKUP(E145,'M10B Order'!B:G,6,FALSE)</f>
        <v>0</v>
      </c>
    </row>
    <row r="146" spans="1:6" x14ac:dyDescent="0.2">
      <c r="A146" s="1" t="s">
        <v>363</v>
      </c>
      <c r="B146" s="1">
        <v>554919830</v>
      </c>
      <c r="C146" s="1" t="s">
        <v>327</v>
      </c>
      <c r="D146" s="1">
        <v>81109801061</v>
      </c>
      <c r="E146" s="1" t="s">
        <v>328</v>
      </c>
      <c r="F146" s="2">
        <f>VLOOKUP(E146,'M10B Order'!B:G,6,FALSE)</f>
        <v>0</v>
      </c>
    </row>
    <row r="147" spans="1:6" x14ac:dyDescent="0.2">
      <c r="A147" s="1" t="s">
        <v>363</v>
      </c>
      <c r="B147" s="1">
        <v>554919758</v>
      </c>
      <c r="C147" s="1" t="s">
        <v>315</v>
      </c>
      <c r="D147" s="1">
        <v>81109801022</v>
      </c>
      <c r="E147" s="1" t="s">
        <v>316</v>
      </c>
      <c r="F147" s="2">
        <f>VLOOKUP(E147,'M10B Order'!B:G,6,FALSE)</f>
        <v>0</v>
      </c>
    </row>
    <row r="148" spans="1:6" x14ac:dyDescent="0.2">
      <c r="A148" s="1" t="s">
        <v>363</v>
      </c>
      <c r="B148" s="1">
        <v>554919755</v>
      </c>
      <c r="C148" s="1" t="s">
        <v>305</v>
      </c>
      <c r="D148" s="1">
        <v>81109801011</v>
      </c>
      <c r="E148" s="1" t="s">
        <v>306</v>
      </c>
      <c r="F148" s="2">
        <f>VLOOKUP(E148,'M10B Order'!B:G,6,FALSE)</f>
        <v>0</v>
      </c>
    </row>
    <row r="149" spans="1:6" x14ac:dyDescent="0.2">
      <c r="A149" s="1" t="s">
        <v>363</v>
      </c>
      <c r="B149" s="1">
        <v>554919766</v>
      </c>
      <c r="C149" s="1" t="s">
        <v>307</v>
      </c>
      <c r="D149" s="1">
        <v>81109801043</v>
      </c>
      <c r="E149" s="1" t="s">
        <v>308</v>
      </c>
      <c r="F149" s="2">
        <f>VLOOKUP(E149,'M10B Order'!B:G,6,FALSE)</f>
        <v>0</v>
      </c>
    </row>
    <row r="150" spans="1:6" x14ac:dyDescent="0.2">
      <c r="A150" s="1" t="s">
        <v>363</v>
      </c>
      <c r="B150" s="1">
        <v>554919717</v>
      </c>
      <c r="C150" s="1" t="s">
        <v>289</v>
      </c>
      <c r="D150" s="1">
        <v>81109801026</v>
      </c>
      <c r="E150" s="1" t="s">
        <v>290</v>
      </c>
      <c r="F150" s="2">
        <f>VLOOKUP(E150,'M10B Order'!B:G,6,FALSE)</f>
        <v>0</v>
      </c>
    </row>
    <row r="151" spans="1:6" x14ac:dyDescent="0.2">
      <c r="A151" s="1" t="s">
        <v>363</v>
      </c>
      <c r="B151" s="1">
        <v>554919748</v>
      </c>
      <c r="C151" s="1" t="s">
        <v>319</v>
      </c>
      <c r="D151" s="1">
        <v>81109801052</v>
      </c>
      <c r="E151" s="1" t="s">
        <v>320</v>
      </c>
      <c r="F151" s="2">
        <f>VLOOKUP(E151,'M10B Order'!B:G,6,FALSE)</f>
        <v>0</v>
      </c>
    </row>
    <row r="152" spans="1:6" x14ac:dyDescent="0.2">
      <c r="A152" s="1" t="s">
        <v>363</v>
      </c>
      <c r="B152" s="1">
        <v>554919775</v>
      </c>
      <c r="C152" s="1" t="s">
        <v>331</v>
      </c>
      <c r="D152" s="1">
        <v>81109801019</v>
      </c>
      <c r="E152" s="1" t="s">
        <v>332</v>
      </c>
      <c r="F152" s="2">
        <f>VLOOKUP(E152,'M10B Order'!B:G,6,FALSE)</f>
        <v>0</v>
      </c>
    </row>
    <row r="153" spans="1:6" x14ac:dyDescent="0.2">
      <c r="A153" s="1" t="s">
        <v>363</v>
      </c>
      <c r="B153" s="1">
        <v>554919733</v>
      </c>
      <c r="C153" s="1" t="s">
        <v>317</v>
      </c>
      <c r="D153" s="1">
        <v>81109801020</v>
      </c>
      <c r="E153" s="1" t="s">
        <v>318</v>
      </c>
      <c r="F153" s="2">
        <f>VLOOKUP(E153,'M10B Order'!B:G,6,FALSE)</f>
        <v>0</v>
      </c>
    </row>
    <row r="154" spans="1:6" x14ac:dyDescent="0.2">
      <c r="A154" s="1" t="s">
        <v>363</v>
      </c>
      <c r="B154" s="1">
        <v>554919706</v>
      </c>
      <c r="C154" s="1" t="s">
        <v>343</v>
      </c>
      <c r="D154" s="1">
        <v>81109801033</v>
      </c>
      <c r="E154" s="1" t="s">
        <v>344</v>
      </c>
      <c r="F154" s="2">
        <f>VLOOKUP(E154,'M10B Order'!B:G,6,FALSE)</f>
        <v>0</v>
      </c>
    </row>
  </sheetData>
  <sortState xmlns:xlrd2="http://schemas.microsoft.com/office/spreadsheetml/2017/richdata2" ref="A3:F214">
    <sortCondition ref="A3:A214"/>
  </sortState>
  <mergeCells count="2">
    <mergeCell ref="A1:C1"/>
    <mergeCell ref="D1:F1"/>
  </mergeCells>
  <pageMargins left="0.7" right="0.7" top="0.75" bottom="0.75" header="0.3" footer="0.3"/>
  <pageSetup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I589"/>
  <sheetViews>
    <sheetView topLeftCell="A576" workbookViewId="0">
      <selection activeCell="D589" sqref="D589"/>
    </sheetView>
  </sheetViews>
  <sheetFormatPr baseColWidth="10" defaultColWidth="9.1640625" defaultRowHeight="15" x14ac:dyDescent="0.2"/>
  <cols>
    <col min="1" max="1" width="20.6640625" style="7" bestFit="1" customWidth="1"/>
    <col min="2" max="2" width="10" style="7" bestFit="1" customWidth="1"/>
    <col min="3" max="3" width="32" style="7" bestFit="1" customWidth="1"/>
    <col min="4" max="4" width="12" style="7" bestFit="1" customWidth="1"/>
    <col min="5" max="5" width="14.5" style="7" bestFit="1" customWidth="1"/>
    <col min="6" max="6" width="12.5" style="7" customWidth="1"/>
    <col min="7" max="16384" width="9.1640625" style="7"/>
  </cols>
  <sheetData>
    <row r="1" spans="1:6" x14ac:dyDescent="0.2">
      <c r="A1" s="36" t="s">
        <v>1942</v>
      </c>
      <c r="B1" s="36"/>
      <c r="C1" s="36"/>
      <c r="D1" s="37" t="s">
        <v>1943</v>
      </c>
      <c r="E1" s="37"/>
      <c r="F1" s="37"/>
    </row>
    <row r="2" spans="1:6" x14ac:dyDescent="0.2">
      <c r="A2" s="9" t="s">
        <v>360</v>
      </c>
      <c r="B2" s="9" t="s">
        <v>0</v>
      </c>
      <c r="C2" s="9" t="s">
        <v>1</v>
      </c>
      <c r="D2" s="9" t="s">
        <v>2</v>
      </c>
      <c r="E2" s="9" t="s">
        <v>3</v>
      </c>
      <c r="F2" s="9" t="s">
        <v>366</v>
      </c>
    </row>
    <row r="3" spans="1:6" x14ac:dyDescent="0.2">
      <c r="A3" s="7" t="s">
        <v>361</v>
      </c>
      <c r="B3" s="7">
        <v>554919643</v>
      </c>
      <c r="C3" s="7" t="s">
        <v>234</v>
      </c>
      <c r="D3" s="7">
        <v>81109801047</v>
      </c>
      <c r="E3" s="7" t="s">
        <v>235</v>
      </c>
      <c r="F3" s="2">
        <f>VLOOKUP(E3,'M10B Order'!B:G,6,FALSE)</f>
        <v>0</v>
      </c>
    </row>
    <row r="4" spans="1:6" x14ac:dyDescent="0.2">
      <c r="A4" s="7" t="s">
        <v>362</v>
      </c>
      <c r="B4" s="7">
        <v>554726540</v>
      </c>
      <c r="C4" s="7" t="s">
        <v>221</v>
      </c>
      <c r="D4" s="7">
        <v>81446902037</v>
      </c>
      <c r="E4" s="7" t="s">
        <v>222</v>
      </c>
      <c r="F4" s="2">
        <f>VLOOKUP(E4,'M10B Order'!B:G,6,FALSE)</f>
        <v>0</v>
      </c>
    </row>
    <row r="5" spans="1:6" x14ac:dyDescent="0.2">
      <c r="A5" s="7" t="s">
        <v>523</v>
      </c>
      <c r="B5" s="7">
        <v>567148962</v>
      </c>
      <c r="C5" s="7" t="s">
        <v>524</v>
      </c>
      <c r="D5" s="7">
        <v>81005603289</v>
      </c>
      <c r="E5" s="7" t="s">
        <v>525</v>
      </c>
      <c r="F5" s="2">
        <f>VLOOKUP(E5,'M10B Order'!B:G,6,FALSE)</f>
        <v>0</v>
      </c>
    </row>
    <row r="6" spans="1:6" x14ac:dyDescent="0.2">
      <c r="A6" s="7" t="s">
        <v>523</v>
      </c>
      <c r="B6" s="7">
        <v>567148800</v>
      </c>
      <c r="C6" s="7" t="s">
        <v>526</v>
      </c>
      <c r="D6" s="7">
        <v>81005603288</v>
      </c>
      <c r="E6" s="7" t="s">
        <v>527</v>
      </c>
      <c r="F6" s="2">
        <f>VLOOKUP(E6,'M10B Order'!B:G,6,FALSE)</f>
        <v>0</v>
      </c>
    </row>
    <row r="7" spans="1:6" x14ac:dyDescent="0.2">
      <c r="A7" s="7" t="s">
        <v>523</v>
      </c>
      <c r="B7" s="7">
        <v>567148806</v>
      </c>
      <c r="C7" s="7" t="s">
        <v>528</v>
      </c>
      <c r="D7" s="7">
        <v>81005603337</v>
      </c>
      <c r="E7" s="7" t="s">
        <v>529</v>
      </c>
      <c r="F7" s="2">
        <f>VLOOKUP(E7,'M10B Order'!B:G,6,FALSE)</f>
        <v>0</v>
      </c>
    </row>
    <row r="8" spans="1:6" x14ac:dyDescent="0.2">
      <c r="A8" s="7" t="s">
        <v>523</v>
      </c>
      <c r="B8" s="7">
        <v>567148870</v>
      </c>
      <c r="C8" s="7" t="s">
        <v>530</v>
      </c>
      <c r="D8" s="7">
        <v>81005603322</v>
      </c>
      <c r="E8" s="7" t="s">
        <v>531</v>
      </c>
      <c r="F8" s="2">
        <f>VLOOKUP(E8,'M10B Order'!B:G,6,FALSE)</f>
        <v>0</v>
      </c>
    </row>
    <row r="9" spans="1:6" x14ac:dyDescent="0.2">
      <c r="A9" s="7" t="s">
        <v>523</v>
      </c>
      <c r="B9" s="7">
        <v>567148883</v>
      </c>
      <c r="C9" s="7" t="s">
        <v>532</v>
      </c>
      <c r="D9" s="7">
        <v>81005603357</v>
      </c>
      <c r="E9" s="7" t="s">
        <v>533</v>
      </c>
      <c r="F9" s="2">
        <f>VLOOKUP(E9,'M10B Order'!B:G,6,FALSE)</f>
        <v>0</v>
      </c>
    </row>
    <row r="10" spans="1:6" x14ac:dyDescent="0.2">
      <c r="A10" s="1" t="s">
        <v>523</v>
      </c>
      <c r="B10" s="1">
        <v>567148998</v>
      </c>
      <c r="C10" s="1" t="s">
        <v>536</v>
      </c>
      <c r="D10" s="1">
        <v>81005603359</v>
      </c>
      <c r="E10" s="1" t="s">
        <v>537</v>
      </c>
      <c r="F10" s="2">
        <f>VLOOKUP(E10,'M10B Order'!B:G,6,FALSE)</f>
        <v>0</v>
      </c>
    </row>
    <row r="11" spans="1:6" x14ac:dyDescent="0.2">
      <c r="A11" s="1" t="s">
        <v>523</v>
      </c>
      <c r="B11" s="1">
        <v>567148991</v>
      </c>
      <c r="C11" s="1" t="s">
        <v>538</v>
      </c>
      <c r="D11" s="1">
        <v>81005603363</v>
      </c>
      <c r="E11" s="1" t="s">
        <v>539</v>
      </c>
      <c r="F11" s="2">
        <f>VLOOKUP(E11,'M10B Order'!B:G,6,FALSE)</f>
        <v>0</v>
      </c>
    </row>
    <row r="12" spans="1:6" x14ac:dyDescent="0.2">
      <c r="A12" s="1" t="s">
        <v>523</v>
      </c>
      <c r="B12" s="1">
        <v>567148989</v>
      </c>
      <c r="C12" s="1" t="s">
        <v>541</v>
      </c>
      <c r="D12" s="1">
        <v>81005603305</v>
      </c>
      <c r="E12" s="1" t="s">
        <v>542</v>
      </c>
      <c r="F12" s="2">
        <f>VLOOKUP(E12,'M10B Order'!B:G,6,FALSE)</f>
        <v>0</v>
      </c>
    </row>
    <row r="13" spans="1:6" x14ac:dyDescent="0.2">
      <c r="A13" s="7" t="s">
        <v>523</v>
      </c>
      <c r="B13" s="7">
        <v>567148990</v>
      </c>
      <c r="C13" s="7" t="s">
        <v>545</v>
      </c>
      <c r="D13" s="7">
        <v>81005603356</v>
      </c>
      <c r="E13" s="7" t="s">
        <v>546</v>
      </c>
      <c r="F13" s="2">
        <f>VLOOKUP(E13,'M10B Order'!B:G,6,FALSE)</f>
        <v>0</v>
      </c>
    </row>
    <row r="14" spans="1:6" x14ac:dyDescent="0.2">
      <c r="A14" s="1" t="s">
        <v>523</v>
      </c>
      <c r="B14" s="1">
        <v>567148988</v>
      </c>
      <c r="C14" s="1" t="s">
        <v>547</v>
      </c>
      <c r="D14" s="1">
        <v>81005603319</v>
      </c>
      <c r="E14" s="1" t="s">
        <v>548</v>
      </c>
      <c r="F14" s="2">
        <f>VLOOKUP(E14,'M10B Order'!B:G,6,FALSE)</f>
        <v>0</v>
      </c>
    </row>
    <row r="15" spans="1:6" x14ac:dyDescent="0.2">
      <c r="A15" s="7" t="s">
        <v>523</v>
      </c>
      <c r="B15" s="7">
        <v>567149006</v>
      </c>
      <c r="C15" s="7" t="s">
        <v>549</v>
      </c>
      <c r="D15" s="7">
        <v>81005603312</v>
      </c>
      <c r="E15" s="7" t="s">
        <v>550</v>
      </c>
      <c r="F15" s="2">
        <f>VLOOKUP(E15,'M10B Order'!B:G,6,FALSE)</f>
        <v>0</v>
      </c>
    </row>
    <row r="16" spans="1:6" x14ac:dyDescent="0.2">
      <c r="A16" s="1" t="s">
        <v>523</v>
      </c>
      <c r="B16" s="1">
        <v>567148974</v>
      </c>
      <c r="C16" s="1" t="s">
        <v>551</v>
      </c>
      <c r="D16" s="1">
        <v>81005603298</v>
      </c>
      <c r="E16" s="1" t="s">
        <v>552</v>
      </c>
      <c r="F16" s="2">
        <f>VLOOKUP(E16,'M10B Order'!B:G,6,FALSE)</f>
        <v>0</v>
      </c>
    </row>
    <row r="17" spans="1:6" x14ac:dyDescent="0.2">
      <c r="A17" s="7" t="s">
        <v>523</v>
      </c>
      <c r="B17" s="7">
        <v>567148993</v>
      </c>
      <c r="C17" s="7" t="s">
        <v>553</v>
      </c>
      <c r="D17" s="7">
        <v>81005603366</v>
      </c>
      <c r="E17" s="7" t="s">
        <v>554</v>
      </c>
      <c r="F17" s="2">
        <f>VLOOKUP(E17,'M10B Order'!B:G,6,FALSE)</f>
        <v>0</v>
      </c>
    </row>
    <row r="18" spans="1:6" x14ac:dyDescent="0.2">
      <c r="A18" s="1" t="s">
        <v>523</v>
      </c>
      <c r="B18" s="1">
        <v>567149005</v>
      </c>
      <c r="C18" s="1" t="s">
        <v>555</v>
      </c>
      <c r="D18" s="1">
        <v>81005603331</v>
      </c>
      <c r="E18" s="1" t="s">
        <v>556</v>
      </c>
      <c r="F18" s="2">
        <f>VLOOKUP(E18,'M10B Order'!B:G,6,FALSE)</f>
        <v>0</v>
      </c>
    </row>
    <row r="19" spans="1:6" x14ac:dyDescent="0.2">
      <c r="A19" s="1" t="s">
        <v>523</v>
      </c>
      <c r="B19" s="1">
        <v>567148997</v>
      </c>
      <c r="C19" s="1" t="s">
        <v>557</v>
      </c>
      <c r="D19" s="1">
        <v>81005603287</v>
      </c>
      <c r="E19" s="1" t="s">
        <v>558</v>
      </c>
      <c r="F19" s="2">
        <f>VLOOKUP(E19,'M10B Order'!B:G,6,FALSE)</f>
        <v>0</v>
      </c>
    </row>
    <row r="20" spans="1:6" x14ac:dyDescent="0.2">
      <c r="A20" s="1" t="s">
        <v>523</v>
      </c>
      <c r="B20" s="1">
        <v>567149000</v>
      </c>
      <c r="C20" s="1" t="s">
        <v>560</v>
      </c>
      <c r="D20" s="1">
        <v>81005603290</v>
      </c>
      <c r="E20" s="1" t="s">
        <v>561</v>
      </c>
      <c r="F20" s="2">
        <f>VLOOKUP(E20,'M10B Order'!B:G,6,FALSE)</f>
        <v>0</v>
      </c>
    </row>
    <row r="21" spans="1:6" x14ac:dyDescent="0.2">
      <c r="A21" s="1" t="s">
        <v>523</v>
      </c>
      <c r="B21" s="1">
        <v>567148967</v>
      </c>
      <c r="C21" s="1" t="s">
        <v>562</v>
      </c>
      <c r="D21" s="1">
        <v>81005603307</v>
      </c>
      <c r="E21" s="1" t="s">
        <v>563</v>
      </c>
      <c r="F21" s="2">
        <f>VLOOKUP(E21,'M10B Order'!B:G,6,FALSE)</f>
        <v>0</v>
      </c>
    </row>
    <row r="22" spans="1:6" x14ac:dyDescent="0.2">
      <c r="A22" s="1" t="s">
        <v>523</v>
      </c>
      <c r="B22" s="1">
        <v>567148873</v>
      </c>
      <c r="C22" s="1" t="s">
        <v>568</v>
      </c>
      <c r="D22" s="1">
        <v>81005603300</v>
      </c>
      <c r="E22" s="1" t="s">
        <v>569</v>
      </c>
      <c r="F22" s="2">
        <f>VLOOKUP(E22,'M10B Order'!B:G,6,FALSE)</f>
        <v>0</v>
      </c>
    </row>
    <row r="23" spans="1:6" x14ac:dyDescent="0.2">
      <c r="A23" s="1" t="s">
        <v>523</v>
      </c>
      <c r="B23" s="1">
        <v>567148880</v>
      </c>
      <c r="C23" s="1" t="s">
        <v>570</v>
      </c>
      <c r="D23" s="1">
        <v>81005603340</v>
      </c>
      <c r="E23" s="1" t="s">
        <v>571</v>
      </c>
      <c r="F23" s="2">
        <f>VLOOKUP(E23,'M10B Order'!B:G,6,FALSE)</f>
        <v>0</v>
      </c>
    </row>
    <row r="24" spans="1:6" x14ac:dyDescent="0.2">
      <c r="A24" s="1" t="s">
        <v>523</v>
      </c>
      <c r="B24" s="1">
        <v>567148820</v>
      </c>
      <c r="C24" s="1" t="s">
        <v>572</v>
      </c>
      <c r="D24" s="1">
        <v>81005603308</v>
      </c>
      <c r="E24" s="1" t="s">
        <v>573</v>
      </c>
      <c r="F24" s="2">
        <f>VLOOKUP(E24,'M10B Order'!B:G,6,FALSE)</f>
        <v>0</v>
      </c>
    </row>
    <row r="25" spans="1:6" x14ac:dyDescent="0.2">
      <c r="A25" s="1" t="s">
        <v>523</v>
      </c>
      <c r="B25" s="1">
        <v>567148811</v>
      </c>
      <c r="C25" s="1" t="s">
        <v>576</v>
      </c>
      <c r="D25" s="1">
        <v>81005603372</v>
      </c>
      <c r="E25" s="1" t="s">
        <v>577</v>
      </c>
      <c r="F25" s="2">
        <f>VLOOKUP(E25,'M10B Order'!B:G,6,FALSE)</f>
        <v>0</v>
      </c>
    </row>
    <row r="26" spans="1:6" x14ac:dyDescent="0.2">
      <c r="A26" s="1" t="s">
        <v>523</v>
      </c>
      <c r="B26" s="1">
        <v>567148837</v>
      </c>
      <c r="C26" s="1" t="s">
        <v>578</v>
      </c>
      <c r="D26" s="1">
        <v>81005603293</v>
      </c>
      <c r="E26" s="1" t="s">
        <v>579</v>
      </c>
      <c r="F26" s="2">
        <f>VLOOKUP(E26,'M10B Order'!B:G,6,FALSE)</f>
        <v>0</v>
      </c>
    </row>
    <row r="27" spans="1:6" x14ac:dyDescent="0.2">
      <c r="A27" s="1" t="s">
        <v>523</v>
      </c>
      <c r="B27" s="1">
        <v>567148835</v>
      </c>
      <c r="C27" s="1" t="s">
        <v>580</v>
      </c>
      <c r="D27" s="1">
        <v>81005603344</v>
      </c>
      <c r="E27" s="1" t="s">
        <v>581</v>
      </c>
      <c r="F27" s="2">
        <f>VLOOKUP(E27,'M10B Order'!B:G,6,FALSE)</f>
        <v>0</v>
      </c>
    </row>
    <row r="28" spans="1:6" x14ac:dyDescent="0.2">
      <c r="A28" s="1" t="s">
        <v>523</v>
      </c>
      <c r="B28" s="1">
        <v>567148875</v>
      </c>
      <c r="C28" s="1" t="s">
        <v>582</v>
      </c>
      <c r="D28" s="1">
        <v>81005603294</v>
      </c>
      <c r="E28" s="1" t="s">
        <v>583</v>
      </c>
      <c r="F28" s="2">
        <f>VLOOKUP(E28,'M10B Order'!B:G,6,FALSE)</f>
        <v>0</v>
      </c>
    </row>
    <row r="29" spans="1:6" x14ac:dyDescent="0.2">
      <c r="A29" s="1" t="s">
        <v>523</v>
      </c>
      <c r="B29" s="1">
        <v>567148891</v>
      </c>
      <c r="C29" s="1" t="s">
        <v>584</v>
      </c>
      <c r="D29" s="1">
        <v>81005603351</v>
      </c>
      <c r="E29" s="1" t="s">
        <v>585</v>
      </c>
      <c r="F29" s="2">
        <f>VLOOKUP(E29,'M10B Order'!B:G,6,FALSE)</f>
        <v>0</v>
      </c>
    </row>
    <row r="30" spans="1:6" x14ac:dyDescent="0.2">
      <c r="A30" s="1" t="s">
        <v>523</v>
      </c>
      <c r="B30" s="1">
        <v>567148872</v>
      </c>
      <c r="C30" s="1" t="s">
        <v>586</v>
      </c>
      <c r="D30" s="1">
        <v>81005603362</v>
      </c>
      <c r="E30" s="1" t="s">
        <v>587</v>
      </c>
      <c r="F30" s="2">
        <f>VLOOKUP(E30,'M10B Order'!B:G,6,FALSE)</f>
        <v>0</v>
      </c>
    </row>
    <row r="31" spans="1:6" x14ac:dyDescent="0.2">
      <c r="A31" s="1" t="s">
        <v>523</v>
      </c>
      <c r="B31" s="1">
        <v>567148860</v>
      </c>
      <c r="C31" s="1" t="s">
        <v>588</v>
      </c>
      <c r="D31" s="1">
        <v>81005603325</v>
      </c>
      <c r="E31" s="1" t="s">
        <v>589</v>
      </c>
      <c r="F31" s="2">
        <f>VLOOKUP(E31,'M10B Order'!B:G,6,FALSE)</f>
        <v>0</v>
      </c>
    </row>
    <row r="32" spans="1:6" x14ac:dyDescent="0.2">
      <c r="A32" s="1" t="s">
        <v>523</v>
      </c>
      <c r="B32" s="1">
        <v>567148865</v>
      </c>
      <c r="C32" s="1" t="s">
        <v>590</v>
      </c>
      <c r="D32" s="1">
        <v>81005603321</v>
      </c>
      <c r="E32" s="1" t="s">
        <v>591</v>
      </c>
      <c r="F32" s="2">
        <f>VLOOKUP(E32,'M10B Order'!B:G,6,FALSE)</f>
        <v>0</v>
      </c>
    </row>
    <row r="33" spans="1:6" x14ac:dyDescent="0.2">
      <c r="A33" s="1" t="s">
        <v>523</v>
      </c>
      <c r="B33" s="1">
        <v>567148890</v>
      </c>
      <c r="C33" s="1" t="s">
        <v>592</v>
      </c>
      <c r="D33" s="1">
        <v>81005603301</v>
      </c>
      <c r="E33" s="1" t="s">
        <v>593</v>
      </c>
      <c r="F33" s="2">
        <f>VLOOKUP(E33,'M10B Order'!B:G,6,FALSE)</f>
        <v>0</v>
      </c>
    </row>
    <row r="34" spans="1:6" x14ac:dyDescent="0.2">
      <c r="A34" s="1" t="s">
        <v>523</v>
      </c>
      <c r="B34" s="10">
        <v>567240458</v>
      </c>
      <c r="C34" s="1" t="s">
        <v>599</v>
      </c>
      <c r="D34" s="1">
        <v>81005603637</v>
      </c>
      <c r="E34" s="1" t="s">
        <v>600</v>
      </c>
      <c r="F34" s="2">
        <f>VLOOKUP(E34,'M10B Order'!B:G,6,FALSE)</f>
        <v>0</v>
      </c>
    </row>
    <row r="35" spans="1:6" x14ac:dyDescent="0.2">
      <c r="A35" s="1" t="s">
        <v>523</v>
      </c>
      <c r="B35" s="10">
        <v>567240466</v>
      </c>
      <c r="C35" s="1" t="s">
        <v>601</v>
      </c>
      <c r="D35" s="1">
        <v>81005603638</v>
      </c>
      <c r="E35" s="1" t="s">
        <v>602</v>
      </c>
      <c r="F35" s="2">
        <f>VLOOKUP(E35,'M10B Order'!B:G,6,FALSE)</f>
        <v>0</v>
      </c>
    </row>
    <row r="36" spans="1:6" x14ac:dyDescent="0.2">
      <c r="A36" s="1" t="s">
        <v>523</v>
      </c>
      <c r="B36" s="10">
        <v>567240469</v>
      </c>
      <c r="C36" s="1" t="s">
        <v>603</v>
      </c>
      <c r="D36" s="1">
        <v>81005603642</v>
      </c>
      <c r="E36" s="1" t="s">
        <v>604</v>
      </c>
      <c r="F36" s="2">
        <f>VLOOKUP(E36,'M10B Order'!B:G,6,FALSE)</f>
        <v>0</v>
      </c>
    </row>
    <row r="37" spans="1:6" x14ac:dyDescent="0.2">
      <c r="A37" s="7" t="s">
        <v>523</v>
      </c>
      <c r="B37" s="7">
        <v>569042305</v>
      </c>
      <c r="C37" s="7" t="s">
        <v>762</v>
      </c>
      <c r="D37" s="7">
        <v>81005603805</v>
      </c>
      <c r="E37" s="7" t="s">
        <v>761</v>
      </c>
      <c r="F37" s="2">
        <f>VLOOKUP(E37,'M10B Order'!B:G,6,FALSE)</f>
        <v>0</v>
      </c>
    </row>
    <row r="38" spans="1:6" x14ac:dyDescent="0.2">
      <c r="A38" s="7" t="s">
        <v>523</v>
      </c>
      <c r="B38" s="7">
        <v>569042317</v>
      </c>
      <c r="C38" s="7" t="s">
        <v>722</v>
      </c>
      <c r="D38" s="7">
        <v>81005603687</v>
      </c>
      <c r="E38" s="7" t="s">
        <v>721</v>
      </c>
      <c r="F38" s="2">
        <f>VLOOKUP(E38,'M10B Order'!B:G,6,FALSE)</f>
        <v>0</v>
      </c>
    </row>
    <row r="39" spans="1:6" x14ac:dyDescent="0.2">
      <c r="A39" s="7" t="s">
        <v>523</v>
      </c>
      <c r="B39" s="7">
        <v>569033501</v>
      </c>
      <c r="C39" s="7" t="s">
        <v>720</v>
      </c>
      <c r="D39" s="7">
        <v>81005603816</v>
      </c>
      <c r="E39" s="7" t="s">
        <v>719</v>
      </c>
      <c r="F39" s="2">
        <f>VLOOKUP(E39,'M10B Order'!B:G,6,FALSE)</f>
        <v>0</v>
      </c>
    </row>
    <row r="40" spans="1:6" x14ac:dyDescent="0.2">
      <c r="A40" s="7" t="s">
        <v>523</v>
      </c>
      <c r="B40" s="7">
        <v>569033509</v>
      </c>
      <c r="C40" s="7" t="s">
        <v>718</v>
      </c>
      <c r="D40" s="7">
        <v>81005603803</v>
      </c>
      <c r="E40" s="7" t="s">
        <v>717</v>
      </c>
      <c r="F40" s="2">
        <f>VLOOKUP(E40,'M10B Order'!B:G,6,FALSE)</f>
        <v>0</v>
      </c>
    </row>
    <row r="41" spans="1:6" x14ac:dyDescent="0.2">
      <c r="A41" s="7" t="s">
        <v>523</v>
      </c>
      <c r="B41" s="7">
        <v>569042303</v>
      </c>
      <c r="C41" s="7" t="s">
        <v>760</v>
      </c>
      <c r="D41" s="7">
        <v>81005603690</v>
      </c>
      <c r="E41" s="7" t="s">
        <v>759</v>
      </c>
      <c r="F41" s="2">
        <f>VLOOKUP(E41,'M10B Order'!B:G,6,FALSE)</f>
        <v>0</v>
      </c>
    </row>
    <row r="42" spans="1:6" x14ac:dyDescent="0.2">
      <c r="A42" s="7" t="s">
        <v>523</v>
      </c>
      <c r="B42" s="7">
        <v>569033513</v>
      </c>
      <c r="C42" s="7" t="s">
        <v>757</v>
      </c>
      <c r="D42" s="7">
        <v>81005603695</v>
      </c>
      <c r="E42" s="7" t="s">
        <v>756</v>
      </c>
      <c r="F42" s="2">
        <f>VLOOKUP(E42,'M10B Order'!B:G,6,FALSE)</f>
        <v>0</v>
      </c>
    </row>
    <row r="43" spans="1:6" x14ac:dyDescent="0.2">
      <c r="A43" s="7" t="s">
        <v>523</v>
      </c>
      <c r="B43" s="7">
        <v>569033508</v>
      </c>
      <c r="C43" s="7" t="s">
        <v>754</v>
      </c>
      <c r="D43" s="7">
        <v>81005603693</v>
      </c>
      <c r="E43" s="7" t="s">
        <v>753</v>
      </c>
      <c r="F43" s="2">
        <f>VLOOKUP(E43,'M10B Order'!B:G,6,FALSE)</f>
        <v>0</v>
      </c>
    </row>
    <row r="44" spans="1:6" x14ac:dyDescent="0.2">
      <c r="A44" s="7" t="s">
        <v>523</v>
      </c>
      <c r="B44" s="7">
        <v>569042327</v>
      </c>
      <c r="C44" s="7" t="s">
        <v>716</v>
      </c>
      <c r="D44" s="7">
        <v>81005603692</v>
      </c>
      <c r="E44" s="7" t="s">
        <v>715</v>
      </c>
      <c r="F44" s="2">
        <f>VLOOKUP(E44,'M10B Order'!B:G,6,FALSE)</f>
        <v>0</v>
      </c>
    </row>
    <row r="45" spans="1:6" x14ac:dyDescent="0.2">
      <c r="A45" s="7" t="s">
        <v>523</v>
      </c>
      <c r="B45" s="7">
        <v>569042315</v>
      </c>
      <c r="C45" s="7" t="s">
        <v>713</v>
      </c>
      <c r="D45" s="7">
        <v>81005603691</v>
      </c>
      <c r="E45" s="7" t="s">
        <v>712</v>
      </c>
      <c r="F45" s="2">
        <f>VLOOKUP(E45,'M10B Order'!B:G,6,FALSE)</f>
        <v>0</v>
      </c>
    </row>
    <row r="46" spans="1:6" x14ac:dyDescent="0.2">
      <c r="A46" s="7" t="s">
        <v>523</v>
      </c>
      <c r="B46" s="7">
        <v>569042324</v>
      </c>
      <c r="C46" s="7" t="s">
        <v>711</v>
      </c>
      <c r="D46" s="7">
        <v>81005603715</v>
      </c>
      <c r="E46" s="7" t="s">
        <v>710</v>
      </c>
      <c r="F46" s="2">
        <f>VLOOKUP(E46,'M10B Order'!B:G,6,FALSE)</f>
        <v>0</v>
      </c>
    </row>
    <row r="47" spans="1:6" x14ac:dyDescent="0.2">
      <c r="A47" s="7" t="s">
        <v>523</v>
      </c>
      <c r="B47" s="7">
        <v>569033512</v>
      </c>
      <c r="C47" s="7" t="s">
        <v>752</v>
      </c>
      <c r="D47" s="7">
        <v>81005603713</v>
      </c>
      <c r="E47" s="7" t="s">
        <v>751</v>
      </c>
      <c r="F47" s="2">
        <f>VLOOKUP(E47,'M10B Order'!B:G,6,FALSE)</f>
        <v>0</v>
      </c>
    </row>
    <row r="48" spans="1:6" x14ac:dyDescent="0.2">
      <c r="A48" s="7" t="s">
        <v>523</v>
      </c>
      <c r="B48" s="7">
        <v>569023450</v>
      </c>
      <c r="C48" s="7" t="s">
        <v>750</v>
      </c>
      <c r="D48" s="7">
        <v>81005603712</v>
      </c>
      <c r="E48" s="7" t="s">
        <v>749</v>
      </c>
      <c r="F48" s="2">
        <f>VLOOKUP(E48,'M10B Order'!B:G,6,FALSE)</f>
        <v>0</v>
      </c>
    </row>
    <row r="49" spans="1:6" x14ac:dyDescent="0.2">
      <c r="A49" s="7" t="s">
        <v>523</v>
      </c>
      <c r="B49" s="7">
        <v>569042329</v>
      </c>
      <c r="C49" s="7" t="s">
        <v>709</v>
      </c>
      <c r="D49" s="7">
        <v>81005603802</v>
      </c>
      <c r="E49" s="7" t="s">
        <v>708</v>
      </c>
      <c r="F49" s="2">
        <f>VLOOKUP(E49,'M10B Order'!B:G,6,FALSE)</f>
        <v>0</v>
      </c>
    </row>
    <row r="50" spans="1:6" x14ac:dyDescent="0.2">
      <c r="A50" s="7" t="s">
        <v>523</v>
      </c>
      <c r="B50" s="7">
        <v>569023440</v>
      </c>
      <c r="C50" s="7" t="s">
        <v>748</v>
      </c>
      <c r="D50" s="7">
        <v>81005603807</v>
      </c>
      <c r="E50" s="7" t="s">
        <v>747</v>
      </c>
      <c r="F50" s="2">
        <f>VLOOKUP(E50,'M10B Order'!B:G,6,FALSE)</f>
        <v>0</v>
      </c>
    </row>
    <row r="51" spans="1:6" x14ac:dyDescent="0.2">
      <c r="A51" s="7" t="s">
        <v>523</v>
      </c>
      <c r="B51" s="7">
        <v>569023447</v>
      </c>
      <c r="C51" s="7" t="s">
        <v>707</v>
      </c>
      <c r="D51" s="7">
        <v>81005603812</v>
      </c>
      <c r="E51" s="7" t="s">
        <v>706</v>
      </c>
      <c r="F51" s="2">
        <f>VLOOKUP(E51,'M10B Order'!B:G,6,FALSE)</f>
        <v>0</v>
      </c>
    </row>
    <row r="52" spans="1:6" x14ac:dyDescent="0.2">
      <c r="A52" s="7" t="s">
        <v>523</v>
      </c>
      <c r="B52" s="7">
        <v>569042316</v>
      </c>
      <c r="C52" s="7" t="s">
        <v>705</v>
      </c>
      <c r="D52" s="7">
        <v>81005603674</v>
      </c>
      <c r="E52" s="7" t="s">
        <v>704</v>
      </c>
      <c r="F52" s="2">
        <f>VLOOKUP(E52,'M10B Order'!B:G,6,FALSE)</f>
        <v>0</v>
      </c>
    </row>
    <row r="53" spans="1:6" x14ac:dyDescent="0.2">
      <c r="A53" s="7" t="s">
        <v>523</v>
      </c>
      <c r="B53" s="7">
        <v>569023448</v>
      </c>
      <c r="C53" s="7" t="s">
        <v>703</v>
      </c>
      <c r="D53" s="7">
        <v>81005603686</v>
      </c>
      <c r="E53" s="7" t="s">
        <v>702</v>
      </c>
      <c r="F53" s="2">
        <f>VLOOKUP(E53,'M10B Order'!B:G,6,FALSE)</f>
        <v>0</v>
      </c>
    </row>
    <row r="54" spans="1:6" x14ac:dyDescent="0.2">
      <c r="A54" s="7" t="s">
        <v>523</v>
      </c>
      <c r="B54" s="7">
        <v>569042325</v>
      </c>
      <c r="C54" s="7" t="s">
        <v>746</v>
      </c>
      <c r="D54" s="7">
        <v>81005603678</v>
      </c>
      <c r="E54" s="7" t="s">
        <v>745</v>
      </c>
      <c r="F54" s="2">
        <f>VLOOKUP(E54,'M10B Order'!B:G,6,FALSE)</f>
        <v>0</v>
      </c>
    </row>
    <row r="55" spans="1:6" x14ac:dyDescent="0.2">
      <c r="A55" s="7" t="s">
        <v>523</v>
      </c>
      <c r="B55" s="7">
        <v>569033510</v>
      </c>
      <c r="C55" s="7" t="s">
        <v>744</v>
      </c>
      <c r="D55" s="7">
        <v>81005603681</v>
      </c>
      <c r="E55" s="7" t="s">
        <v>743</v>
      </c>
      <c r="F55" s="2">
        <f>VLOOKUP(E55,'M10B Order'!B:G,6,FALSE)</f>
        <v>0</v>
      </c>
    </row>
    <row r="56" spans="1:6" x14ac:dyDescent="0.2">
      <c r="A56" s="7" t="s">
        <v>523</v>
      </c>
      <c r="B56" s="7">
        <v>569033514</v>
      </c>
      <c r="C56" s="7" t="s">
        <v>742</v>
      </c>
      <c r="D56" s="7">
        <v>81005603680</v>
      </c>
      <c r="E56" s="7" t="s">
        <v>741</v>
      </c>
      <c r="F56" s="2">
        <f>VLOOKUP(E56,'M10B Order'!B:G,6,FALSE)</f>
        <v>0</v>
      </c>
    </row>
    <row r="57" spans="1:6" x14ac:dyDescent="0.2">
      <c r="A57" s="7" t="s">
        <v>523</v>
      </c>
      <c r="B57" s="7">
        <v>569042330</v>
      </c>
      <c r="C57" s="7" t="s">
        <v>701</v>
      </c>
      <c r="D57" s="7">
        <v>81005603710</v>
      </c>
      <c r="E57" s="7" t="s">
        <v>700</v>
      </c>
      <c r="F57" s="2">
        <f>VLOOKUP(E57,'M10B Order'!B:G,6,FALSE)</f>
        <v>0</v>
      </c>
    </row>
    <row r="58" spans="1:6" x14ac:dyDescent="0.2">
      <c r="A58" s="7" t="s">
        <v>523</v>
      </c>
      <c r="B58" s="7">
        <v>569033511</v>
      </c>
      <c r="C58" s="7" t="s">
        <v>698</v>
      </c>
      <c r="D58" s="7">
        <v>81005603813</v>
      </c>
      <c r="E58" s="7" t="s">
        <v>697</v>
      </c>
      <c r="F58" s="2">
        <f>VLOOKUP(E58,'M10B Order'!B:G,6,FALSE)</f>
        <v>0</v>
      </c>
    </row>
    <row r="59" spans="1:6" x14ac:dyDescent="0.2">
      <c r="A59" s="7" t="s">
        <v>523</v>
      </c>
      <c r="B59" s="7">
        <v>569042304</v>
      </c>
      <c r="C59" s="7" t="s">
        <v>696</v>
      </c>
      <c r="D59" s="7">
        <v>81005603806</v>
      </c>
      <c r="E59" s="7" t="s">
        <v>695</v>
      </c>
      <c r="F59" s="2">
        <f>VLOOKUP(E59,'M10B Order'!B:G,6,FALSE)</f>
        <v>0</v>
      </c>
    </row>
    <row r="60" spans="1:6" x14ac:dyDescent="0.2">
      <c r="A60" s="7" t="s">
        <v>523</v>
      </c>
      <c r="B60" s="7">
        <v>569042318</v>
      </c>
      <c r="C60" s="7" t="s">
        <v>694</v>
      </c>
      <c r="D60" s="7">
        <v>81005603801</v>
      </c>
      <c r="E60" s="7" t="s">
        <v>693</v>
      </c>
      <c r="F60" s="2">
        <f>VLOOKUP(E60,'M10B Order'!B:G,6,FALSE)</f>
        <v>0</v>
      </c>
    </row>
    <row r="61" spans="1:6" x14ac:dyDescent="0.2">
      <c r="A61" s="7" t="s">
        <v>523</v>
      </c>
      <c r="B61" s="7">
        <v>569033502</v>
      </c>
      <c r="C61" s="7" t="s">
        <v>740</v>
      </c>
      <c r="D61" s="7">
        <v>81005603676</v>
      </c>
      <c r="E61" s="7" t="s">
        <v>739</v>
      </c>
      <c r="F61" s="2">
        <f>VLOOKUP(E61,'M10B Order'!B:G,6,FALSE)</f>
        <v>0</v>
      </c>
    </row>
    <row r="62" spans="1:6" x14ac:dyDescent="0.2">
      <c r="A62" s="7" t="s">
        <v>523</v>
      </c>
      <c r="B62" s="7">
        <v>569033507</v>
      </c>
      <c r="C62" s="7" t="s">
        <v>738</v>
      </c>
      <c r="D62" s="7">
        <v>81005603671</v>
      </c>
      <c r="E62" s="7" t="s">
        <v>737</v>
      </c>
      <c r="F62" s="2">
        <f>VLOOKUP(E62,'M10B Order'!B:G,6,FALSE)</f>
        <v>0</v>
      </c>
    </row>
    <row r="63" spans="1:6" x14ac:dyDescent="0.2">
      <c r="A63" s="7" t="s">
        <v>523</v>
      </c>
      <c r="B63" s="7">
        <v>569042300</v>
      </c>
      <c r="C63" s="7" t="s">
        <v>736</v>
      </c>
      <c r="D63" s="7">
        <v>81005603683</v>
      </c>
      <c r="E63" s="7" t="s">
        <v>735</v>
      </c>
      <c r="F63" s="2">
        <f>VLOOKUP(E63,'M10B Order'!B:G,6,FALSE)</f>
        <v>0</v>
      </c>
    </row>
    <row r="64" spans="1:6" x14ac:dyDescent="0.2">
      <c r="A64" s="7" t="s">
        <v>523</v>
      </c>
      <c r="B64" s="7">
        <v>569042301</v>
      </c>
      <c r="C64" s="7" t="s">
        <v>734</v>
      </c>
      <c r="D64" s="7">
        <v>81005603711</v>
      </c>
      <c r="E64" s="7" t="s">
        <v>733</v>
      </c>
      <c r="F64" s="2">
        <f>VLOOKUP(E64,'M10B Order'!B:G,6,FALSE)</f>
        <v>0</v>
      </c>
    </row>
    <row r="65" spans="1:6" x14ac:dyDescent="0.2">
      <c r="A65" s="7" t="s">
        <v>523</v>
      </c>
      <c r="B65" s="7">
        <v>569033506</v>
      </c>
      <c r="C65" s="7" t="s">
        <v>732</v>
      </c>
      <c r="D65" s="7">
        <v>81005603682</v>
      </c>
      <c r="E65" s="7" t="s">
        <v>731</v>
      </c>
      <c r="F65" s="2">
        <f>VLOOKUP(E65,'M10B Order'!B:G,6,FALSE)</f>
        <v>0</v>
      </c>
    </row>
    <row r="66" spans="1:6" x14ac:dyDescent="0.2">
      <c r="A66" s="7" t="s">
        <v>523</v>
      </c>
      <c r="B66" s="7">
        <v>569023442</v>
      </c>
      <c r="C66" s="7" t="s">
        <v>692</v>
      </c>
      <c r="D66" s="7">
        <v>81005603808</v>
      </c>
      <c r="E66" s="7" t="s">
        <v>691</v>
      </c>
      <c r="F66" s="2">
        <f>VLOOKUP(E66,'M10B Order'!B:G,6,FALSE)</f>
        <v>0</v>
      </c>
    </row>
    <row r="67" spans="1:6" x14ac:dyDescent="0.2">
      <c r="A67" s="7" t="s">
        <v>523</v>
      </c>
      <c r="B67" s="7">
        <v>569042298</v>
      </c>
      <c r="C67" s="7" t="s">
        <v>690</v>
      </c>
      <c r="D67" s="7">
        <v>81005603673</v>
      </c>
      <c r="E67" s="7" t="s">
        <v>689</v>
      </c>
      <c r="F67" s="2">
        <f>VLOOKUP(E67,'M10B Order'!B:G,6,FALSE)</f>
        <v>0</v>
      </c>
    </row>
    <row r="68" spans="1:6" x14ac:dyDescent="0.2">
      <c r="A68" s="7" t="s">
        <v>523</v>
      </c>
      <c r="B68" s="7">
        <v>569023443</v>
      </c>
      <c r="C68" s="7" t="s">
        <v>730</v>
      </c>
      <c r="D68" s="7">
        <v>81005603800</v>
      </c>
      <c r="E68" s="7" t="s">
        <v>729</v>
      </c>
      <c r="F68" s="2">
        <f>VLOOKUP(E68,'M10B Order'!B:G,6,FALSE)</f>
        <v>0</v>
      </c>
    </row>
    <row r="69" spans="1:6" x14ac:dyDescent="0.2">
      <c r="A69" s="7" t="s">
        <v>523</v>
      </c>
      <c r="B69" s="7">
        <v>569023437</v>
      </c>
      <c r="C69" s="7" t="s">
        <v>728</v>
      </c>
      <c r="D69" s="7">
        <v>81005603799</v>
      </c>
      <c r="E69" s="7" t="s">
        <v>727</v>
      </c>
      <c r="F69" s="2">
        <f>VLOOKUP(E69,'M10B Order'!B:G,6,FALSE)</f>
        <v>0</v>
      </c>
    </row>
    <row r="70" spans="1:6" x14ac:dyDescent="0.2">
      <c r="A70" s="7" t="s">
        <v>974</v>
      </c>
      <c r="B70" s="7">
        <v>573626629</v>
      </c>
      <c r="C70" s="7" t="s">
        <v>1012</v>
      </c>
      <c r="D70" s="7">
        <v>81000139144</v>
      </c>
      <c r="E70" s="7" t="s">
        <v>1011</v>
      </c>
      <c r="F70" s="2">
        <f>VLOOKUP(E70,'M10B Order'!B:G,6,FALSE)</f>
        <v>0</v>
      </c>
    </row>
    <row r="71" spans="1:6" x14ac:dyDescent="0.2">
      <c r="A71" s="7" t="s">
        <v>974</v>
      </c>
      <c r="B71" s="7">
        <v>573626661</v>
      </c>
      <c r="C71" s="7" t="s">
        <v>1010</v>
      </c>
      <c r="D71" s="7">
        <v>81000139130</v>
      </c>
      <c r="E71" s="7" t="s">
        <v>1009</v>
      </c>
      <c r="F71" s="2">
        <f>VLOOKUP(E71,'M10B Order'!B:G,6,FALSE)</f>
        <v>0</v>
      </c>
    </row>
    <row r="72" spans="1:6" x14ac:dyDescent="0.2">
      <c r="A72" s="7" t="s">
        <v>974</v>
      </c>
      <c r="B72" s="7">
        <v>573626659</v>
      </c>
      <c r="C72" s="7" t="s">
        <v>1003</v>
      </c>
      <c r="D72" s="7">
        <v>81000139142</v>
      </c>
      <c r="E72" s="7" t="s">
        <v>1002</v>
      </c>
      <c r="F72" s="2">
        <f>VLOOKUP(E72,'M10B Order'!B:G,6,FALSE)</f>
        <v>0</v>
      </c>
    </row>
    <row r="73" spans="1:6" x14ac:dyDescent="0.2">
      <c r="A73" s="7" t="s">
        <v>974</v>
      </c>
      <c r="B73" s="7">
        <v>573626656</v>
      </c>
      <c r="C73" s="7" t="s">
        <v>1001</v>
      </c>
      <c r="D73" s="7">
        <v>81000139136</v>
      </c>
      <c r="E73" s="7" t="s">
        <v>1000</v>
      </c>
      <c r="F73" s="2">
        <f>VLOOKUP(E73,'M10B Order'!B:G,6,FALSE)</f>
        <v>0</v>
      </c>
    </row>
    <row r="74" spans="1:6" x14ac:dyDescent="0.2">
      <c r="A74" s="7" t="s">
        <v>974</v>
      </c>
      <c r="B74" s="7">
        <v>573626691</v>
      </c>
      <c r="C74" s="7" t="s">
        <v>999</v>
      </c>
      <c r="D74" s="7">
        <v>81000139140</v>
      </c>
      <c r="E74" s="7" t="s">
        <v>998</v>
      </c>
      <c r="F74" s="2">
        <f>VLOOKUP(E74,'M10B Order'!B:G,6,FALSE)</f>
        <v>0</v>
      </c>
    </row>
    <row r="75" spans="1:6" x14ac:dyDescent="0.2">
      <c r="A75" s="7" t="s">
        <v>974</v>
      </c>
      <c r="B75" s="7">
        <v>573626603</v>
      </c>
      <c r="C75" s="7" t="s">
        <v>997</v>
      </c>
      <c r="D75" s="7">
        <v>81000139133</v>
      </c>
      <c r="E75" s="7" t="s">
        <v>996</v>
      </c>
      <c r="F75" s="2">
        <f>VLOOKUP(E75,'M10B Order'!B:G,6,FALSE)</f>
        <v>0</v>
      </c>
    </row>
    <row r="76" spans="1:6" x14ac:dyDescent="0.2">
      <c r="A76" s="7" t="s">
        <v>974</v>
      </c>
      <c r="B76" s="7">
        <v>573626601</v>
      </c>
      <c r="C76" s="7" t="s">
        <v>994</v>
      </c>
      <c r="D76" s="7">
        <v>81000139127</v>
      </c>
      <c r="E76" s="7" t="s">
        <v>993</v>
      </c>
      <c r="F76" s="2">
        <f>VLOOKUP(E76,'M10B Order'!B:G,6,FALSE)</f>
        <v>0</v>
      </c>
    </row>
    <row r="77" spans="1:6" x14ac:dyDescent="0.2">
      <c r="A77" s="7" t="s">
        <v>974</v>
      </c>
      <c r="B77" s="7">
        <v>573626599</v>
      </c>
      <c r="C77" s="7" t="s">
        <v>992</v>
      </c>
      <c r="D77" s="7">
        <v>81000139141</v>
      </c>
      <c r="E77" s="7" t="s">
        <v>991</v>
      </c>
      <c r="F77" s="2">
        <f>VLOOKUP(E77,'M10B Order'!B:G,6,FALSE)</f>
        <v>0</v>
      </c>
    </row>
    <row r="78" spans="1:6" x14ac:dyDescent="0.2">
      <c r="A78" s="7" t="s">
        <v>974</v>
      </c>
      <c r="B78" s="7">
        <v>573626605</v>
      </c>
      <c r="C78" s="7" t="s">
        <v>989</v>
      </c>
      <c r="D78" s="7">
        <v>81000139128</v>
      </c>
      <c r="E78" s="7" t="s">
        <v>988</v>
      </c>
      <c r="F78" s="2">
        <f>VLOOKUP(E78,'M10B Order'!B:G,6,FALSE)</f>
        <v>0</v>
      </c>
    </row>
    <row r="79" spans="1:6" x14ac:dyDescent="0.2">
      <c r="A79" s="7" t="s">
        <v>974</v>
      </c>
      <c r="B79" s="7">
        <v>573626694</v>
      </c>
      <c r="C79" s="7" t="s">
        <v>984</v>
      </c>
      <c r="D79" s="7">
        <v>81000139147</v>
      </c>
      <c r="E79" s="7" t="s">
        <v>983</v>
      </c>
      <c r="F79" s="2">
        <f>VLOOKUP(E79,'M10B Order'!B:G,6,FALSE)</f>
        <v>0</v>
      </c>
    </row>
    <row r="80" spans="1:6" x14ac:dyDescent="0.2">
      <c r="A80" s="7" t="s">
        <v>974</v>
      </c>
      <c r="B80" s="7">
        <v>573626608</v>
      </c>
      <c r="C80" s="7" t="s">
        <v>980</v>
      </c>
      <c r="D80" s="7">
        <v>81000139145</v>
      </c>
      <c r="E80" s="7" t="s">
        <v>979</v>
      </c>
      <c r="F80" s="2">
        <f>VLOOKUP(E80,'M10B Order'!B:G,6,FALSE)</f>
        <v>0</v>
      </c>
    </row>
    <row r="81" spans="1:6" x14ac:dyDescent="0.2">
      <c r="A81" s="7" t="s">
        <v>974</v>
      </c>
      <c r="B81" s="7">
        <v>573626693</v>
      </c>
      <c r="C81" s="7" t="s">
        <v>978</v>
      </c>
      <c r="D81" s="7">
        <v>81000139135</v>
      </c>
      <c r="E81" s="7" t="s">
        <v>977</v>
      </c>
      <c r="F81" s="2">
        <f>VLOOKUP(E81,'M10B Order'!B:G,6,FALSE)</f>
        <v>0</v>
      </c>
    </row>
    <row r="82" spans="1:6" x14ac:dyDescent="0.2">
      <c r="A82" s="7" t="s">
        <v>1147</v>
      </c>
      <c r="B82" s="7">
        <v>579058136</v>
      </c>
      <c r="C82" s="7" t="s">
        <v>1155</v>
      </c>
      <c r="D82" s="7">
        <v>81000139786</v>
      </c>
      <c r="E82" s="7" t="s">
        <v>1154</v>
      </c>
      <c r="F82" s="2">
        <f>VLOOKUP(E82,'M10B Order'!B:G,6,FALSE)</f>
        <v>0</v>
      </c>
    </row>
    <row r="83" spans="1:6" x14ac:dyDescent="0.2">
      <c r="A83" s="7" t="s">
        <v>1147</v>
      </c>
      <c r="B83" s="7">
        <v>579058170</v>
      </c>
      <c r="C83" s="7" t="s">
        <v>1157</v>
      </c>
      <c r="D83" s="7">
        <v>81000139792</v>
      </c>
      <c r="E83" s="7" t="s">
        <v>1156</v>
      </c>
      <c r="F83" s="2">
        <f>VLOOKUP(E83,'M10B Order'!B:G,6,FALSE)</f>
        <v>0</v>
      </c>
    </row>
    <row r="84" spans="1:6" x14ac:dyDescent="0.2">
      <c r="A84" s="7" t="s">
        <v>1147</v>
      </c>
      <c r="B84" s="7">
        <v>579058172</v>
      </c>
      <c r="C84" s="7" t="s">
        <v>1159</v>
      </c>
      <c r="D84" s="7">
        <v>81000139809</v>
      </c>
      <c r="E84" s="7" t="s">
        <v>1158</v>
      </c>
      <c r="F84" s="2">
        <f>VLOOKUP(E84,'M10B Order'!B:G,6,FALSE)</f>
        <v>0</v>
      </c>
    </row>
    <row r="85" spans="1:6" x14ac:dyDescent="0.2">
      <c r="A85" s="7" t="s">
        <v>1147</v>
      </c>
      <c r="B85" s="7">
        <v>579058183</v>
      </c>
      <c r="C85" s="7" t="s">
        <v>1163</v>
      </c>
      <c r="D85" s="7">
        <v>81000139816</v>
      </c>
      <c r="E85" s="7" t="s">
        <v>1162</v>
      </c>
      <c r="F85" s="2">
        <f>VLOOKUP(E85,'M10B Order'!B:G,6,FALSE)</f>
        <v>0</v>
      </c>
    </row>
    <row r="86" spans="1:6" x14ac:dyDescent="0.2">
      <c r="A86" s="7" t="s">
        <v>1147</v>
      </c>
      <c r="B86" s="7">
        <v>579058163</v>
      </c>
      <c r="C86" s="7" t="s">
        <v>1161</v>
      </c>
      <c r="D86" s="7">
        <v>81000139811</v>
      </c>
      <c r="E86" s="7" t="s">
        <v>1160</v>
      </c>
      <c r="F86" s="2">
        <f>VLOOKUP(E86,'M10B Order'!B:G,6,FALSE)</f>
        <v>0</v>
      </c>
    </row>
    <row r="87" spans="1:6" x14ac:dyDescent="0.2">
      <c r="A87" s="7" t="s">
        <v>1147</v>
      </c>
      <c r="B87" s="7">
        <v>579058164</v>
      </c>
      <c r="C87" s="7" t="s">
        <v>1165</v>
      </c>
      <c r="D87" s="7">
        <v>81000139801</v>
      </c>
      <c r="E87" s="7" t="s">
        <v>1164</v>
      </c>
      <c r="F87" s="2">
        <f>VLOOKUP(E87,'M10B Order'!B:G,6,FALSE)</f>
        <v>0</v>
      </c>
    </row>
    <row r="88" spans="1:6" x14ac:dyDescent="0.2">
      <c r="A88" s="7" t="s">
        <v>1147</v>
      </c>
      <c r="B88" s="7">
        <v>579058169</v>
      </c>
      <c r="C88" s="7" t="s">
        <v>1167</v>
      </c>
      <c r="D88" s="7">
        <v>81000139800</v>
      </c>
      <c r="E88" s="7" t="s">
        <v>1166</v>
      </c>
      <c r="F88" s="2">
        <f>VLOOKUP(E88,'M10B Order'!B:G,6,FALSE)</f>
        <v>0</v>
      </c>
    </row>
    <row r="89" spans="1:6" x14ac:dyDescent="0.2">
      <c r="A89" s="7" t="s">
        <v>1147</v>
      </c>
      <c r="B89" s="7">
        <v>579058159</v>
      </c>
      <c r="C89" s="7" t="s">
        <v>1169</v>
      </c>
      <c r="D89" s="7">
        <v>81000139779</v>
      </c>
      <c r="E89" s="7" t="s">
        <v>1168</v>
      </c>
      <c r="F89" s="2">
        <f>VLOOKUP(E89,'M10B Order'!B:G,6,FALSE)</f>
        <v>0</v>
      </c>
    </row>
    <row r="90" spans="1:6" x14ac:dyDescent="0.2">
      <c r="A90" s="7" t="s">
        <v>1147</v>
      </c>
      <c r="B90" s="7">
        <v>579058173</v>
      </c>
      <c r="C90" s="7" t="s">
        <v>1171</v>
      </c>
      <c r="D90" s="7">
        <v>81000139782</v>
      </c>
      <c r="E90" s="7" t="s">
        <v>1170</v>
      </c>
      <c r="F90" s="2">
        <f>VLOOKUP(E90,'M10B Order'!B:G,6,FALSE)</f>
        <v>0</v>
      </c>
    </row>
    <row r="91" spans="1:6" x14ac:dyDescent="0.2">
      <c r="A91" s="7" t="s">
        <v>1147</v>
      </c>
      <c r="B91" s="7">
        <v>579058177</v>
      </c>
      <c r="C91" s="7" t="s">
        <v>1173</v>
      </c>
      <c r="D91" s="7">
        <v>81000139802</v>
      </c>
      <c r="E91" s="7" t="s">
        <v>1172</v>
      </c>
      <c r="F91" s="2">
        <f>VLOOKUP(E91,'M10B Order'!B:G,6,FALSE)</f>
        <v>0</v>
      </c>
    </row>
    <row r="92" spans="1:6" x14ac:dyDescent="0.2">
      <c r="A92" s="7" t="s">
        <v>1147</v>
      </c>
      <c r="B92" s="7">
        <v>579058151</v>
      </c>
      <c r="C92" s="7" t="s">
        <v>1175</v>
      </c>
      <c r="D92" s="7">
        <v>81000139778</v>
      </c>
      <c r="E92" s="7" t="s">
        <v>1174</v>
      </c>
      <c r="F92" s="2">
        <f>VLOOKUP(E92,'M10B Order'!B:G,6,FALSE)</f>
        <v>0</v>
      </c>
    </row>
    <row r="93" spans="1:6" x14ac:dyDescent="0.2">
      <c r="A93" s="7" t="s">
        <v>1147</v>
      </c>
      <c r="B93" s="7">
        <v>579058165</v>
      </c>
      <c r="C93" s="7" t="s">
        <v>1177</v>
      </c>
      <c r="D93" s="7">
        <v>81000139789</v>
      </c>
      <c r="E93" s="7" t="s">
        <v>1176</v>
      </c>
      <c r="F93" s="2">
        <f>VLOOKUP(E93,'M10B Order'!B:G,6,FALSE)</f>
        <v>0</v>
      </c>
    </row>
    <row r="94" spans="1:6" x14ac:dyDescent="0.2">
      <c r="A94" s="7" t="s">
        <v>1147</v>
      </c>
      <c r="B94" s="7">
        <v>579058161</v>
      </c>
      <c r="C94" s="7" t="s">
        <v>1187</v>
      </c>
      <c r="D94" s="7">
        <v>81000139810</v>
      </c>
      <c r="E94" s="7" t="s">
        <v>1186</v>
      </c>
      <c r="F94" s="2">
        <f>VLOOKUP(E94,'M10B Order'!B:G,6,FALSE)</f>
        <v>0</v>
      </c>
    </row>
    <row r="95" spans="1:6" x14ac:dyDescent="0.2">
      <c r="A95" s="7" t="s">
        <v>1147</v>
      </c>
      <c r="B95" s="7">
        <v>579058162</v>
      </c>
      <c r="C95" s="7" t="s">
        <v>1185</v>
      </c>
      <c r="D95" s="7">
        <v>81000139787</v>
      </c>
      <c r="E95" s="7" t="s">
        <v>1184</v>
      </c>
      <c r="F95" s="2">
        <f>VLOOKUP(E95,'M10B Order'!B:G,6,FALSE)</f>
        <v>0</v>
      </c>
    </row>
    <row r="96" spans="1:6" x14ac:dyDescent="0.2">
      <c r="A96" s="7" t="s">
        <v>1147</v>
      </c>
      <c r="B96" s="7">
        <v>579058137</v>
      </c>
      <c r="C96" s="7" t="s">
        <v>1179</v>
      </c>
      <c r="D96" s="7">
        <v>81000139803</v>
      </c>
      <c r="E96" s="7" t="s">
        <v>1178</v>
      </c>
      <c r="F96" s="2">
        <f>VLOOKUP(E96,'M10B Order'!B:G,6,FALSE)</f>
        <v>0</v>
      </c>
    </row>
    <row r="97" spans="1:6" x14ac:dyDescent="0.2">
      <c r="A97" s="7" t="s">
        <v>1147</v>
      </c>
      <c r="B97" s="7">
        <v>579058168</v>
      </c>
      <c r="C97" s="7" t="s">
        <v>1181</v>
      </c>
      <c r="D97" s="7">
        <v>81000139819</v>
      </c>
      <c r="E97" s="7" t="s">
        <v>1180</v>
      </c>
      <c r="F97" s="2">
        <f>VLOOKUP(E97,'M10B Order'!B:G,6,FALSE)</f>
        <v>0</v>
      </c>
    </row>
    <row r="98" spans="1:6" x14ac:dyDescent="0.2">
      <c r="A98" s="7" t="s">
        <v>1147</v>
      </c>
      <c r="B98" s="7">
        <v>579058171</v>
      </c>
      <c r="C98" s="7" t="s">
        <v>1183</v>
      </c>
      <c r="D98" s="7">
        <v>81000139785</v>
      </c>
      <c r="E98" s="7" t="s">
        <v>1182</v>
      </c>
      <c r="F98" s="2">
        <f>VLOOKUP(E98,'M10B Order'!B:G,6,FALSE)</f>
        <v>0</v>
      </c>
    </row>
    <row r="99" spans="1:6" x14ac:dyDescent="0.2">
      <c r="A99" s="7" t="s">
        <v>1147</v>
      </c>
      <c r="B99" s="7">
        <v>579058167</v>
      </c>
      <c r="C99" s="7" t="s">
        <v>1189</v>
      </c>
      <c r="D99" s="7">
        <v>81000139817</v>
      </c>
      <c r="E99" s="7" t="s">
        <v>1188</v>
      </c>
      <c r="F99" s="2">
        <f>VLOOKUP(E99,'M10B Order'!B:G,6,FALSE)</f>
        <v>0</v>
      </c>
    </row>
    <row r="100" spans="1:6" x14ac:dyDescent="0.2">
      <c r="A100" s="7" t="s">
        <v>1147</v>
      </c>
      <c r="B100" s="7">
        <v>579058179</v>
      </c>
      <c r="C100" s="7" t="s">
        <v>1195</v>
      </c>
      <c r="D100" s="7">
        <v>81000139815</v>
      </c>
      <c r="E100" s="7" t="s">
        <v>1194</v>
      </c>
      <c r="F100" s="2">
        <f>VLOOKUP(E100,'M10B Order'!B:G,6,FALSE)</f>
        <v>0</v>
      </c>
    </row>
    <row r="101" spans="1:6" x14ac:dyDescent="0.2">
      <c r="A101" s="7" t="s">
        <v>1147</v>
      </c>
      <c r="B101" s="7">
        <v>579058076</v>
      </c>
      <c r="C101" s="7" t="s">
        <v>1191</v>
      </c>
      <c r="D101" s="7">
        <v>81000139783</v>
      </c>
      <c r="E101" s="7" t="s">
        <v>1190</v>
      </c>
      <c r="F101" s="2">
        <f>VLOOKUP(E101,'M10B Order'!B:G,6,FALSE)</f>
        <v>0</v>
      </c>
    </row>
    <row r="102" spans="1:6" x14ac:dyDescent="0.2">
      <c r="A102" s="7" t="s">
        <v>1147</v>
      </c>
      <c r="B102" s="7">
        <v>579058178</v>
      </c>
      <c r="C102" s="7" t="s">
        <v>1193</v>
      </c>
      <c r="D102" s="7">
        <v>81000139784</v>
      </c>
      <c r="E102" s="7" t="s">
        <v>1192</v>
      </c>
      <c r="F102" s="2">
        <f>VLOOKUP(E102,'M10B Order'!B:G,6,FALSE)</f>
        <v>0</v>
      </c>
    </row>
    <row r="103" spans="1:6" x14ac:dyDescent="0.2">
      <c r="A103" s="7" t="s">
        <v>1147</v>
      </c>
      <c r="B103" s="7">
        <v>579058186</v>
      </c>
      <c r="C103" s="7" t="s">
        <v>1197</v>
      </c>
      <c r="D103" s="7">
        <v>81000139781</v>
      </c>
      <c r="E103" s="7" t="s">
        <v>1196</v>
      </c>
      <c r="F103" s="2">
        <f>VLOOKUP(E103,'M10B Order'!B:G,6,FALSE)</f>
        <v>0</v>
      </c>
    </row>
    <row r="104" spans="1:6" x14ac:dyDescent="0.2">
      <c r="A104" s="7" t="s">
        <v>1147</v>
      </c>
      <c r="B104" s="7">
        <v>579058181</v>
      </c>
      <c r="C104" s="7" t="s">
        <v>1199</v>
      </c>
      <c r="D104" s="7">
        <v>81000139806</v>
      </c>
      <c r="E104" s="7" t="s">
        <v>1198</v>
      </c>
      <c r="F104" s="2">
        <f>VLOOKUP(E104,'M10B Order'!B:G,6,FALSE)</f>
        <v>0</v>
      </c>
    </row>
    <row r="105" spans="1:6" x14ac:dyDescent="0.2">
      <c r="A105" s="7" t="s">
        <v>1147</v>
      </c>
      <c r="B105" s="7">
        <v>579058187</v>
      </c>
      <c r="C105" s="7" t="s">
        <v>1201</v>
      </c>
      <c r="D105" s="7">
        <v>81000139818</v>
      </c>
      <c r="E105" s="7" t="s">
        <v>1200</v>
      </c>
      <c r="F105" s="2">
        <f>VLOOKUP(E105,'M10B Order'!B:G,6,FALSE)</f>
        <v>0</v>
      </c>
    </row>
    <row r="106" spans="1:6" x14ac:dyDescent="0.2">
      <c r="A106" s="7" t="s">
        <v>1147</v>
      </c>
      <c r="B106" s="7">
        <v>579058174</v>
      </c>
      <c r="C106" s="7" t="s">
        <v>1203</v>
      </c>
      <c r="D106" s="7">
        <v>81000139814</v>
      </c>
      <c r="E106" s="7" t="s">
        <v>1202</v>
      </c>
      <c r="F106" s="2">
        <f>VLOOKUP(E106,'M10B Order'!B:G,6,FALSE)</f>
        <v>0</v>
      </c>
    </row>
    <row r="107" spans="1:6" x14ac:dyDescent="0.2">
      <c r="A107" s="7" t="s">
        <v>1147</v>
      </c>
      <c r="B107" s="7">
        <v>579058065</v>
      </c>
      <c r="C107" s="7" t="s">
        <v>1207</v>
      </c>
      <c r="D107" s="7">
        <v>81000139799</v>
      </c>
      <c r="E107" s="7" t="s">
        <v>1206</v>
      </c>
      <c r="F107" s="2">
        <f>VLOOKUP(E107,'M10B Order'!B:G,6,FALSE)</f>
        <v>0</v>
      </c>
    </row>
    <row r="108" spans="1:6" x14ac:dyDescent="0.2">
      <c r="A108" s="7" t="s">
        <v>1147</v>
      </c>
      <c r="B108" s="7">
        <v>579058039</v>
      </c>
      <c r="C108" s="7" t="s">
        <v>1209</v>
      </c>
      <c r="D108" s="7">
        <v>81000139788</v>
      </c>
      <c r="E108" s="7" t="s">
        <v>1208</v>
      </c>
      <c r="F108" s="2">
        <f>VLOOKUP(E108,'M10B Order'!B:G,6,FALSE)</f>
        <v>0</v>
      </c>
    </row>
    <row r="109" spans="1:6" x14ac:dyDescent="0.2">
      <c r="A109" s="7" t="s">
        <v>1147</v>
      </c>
      <c r="B109" s="7">
        <v>579058041</v>
      </c>
      <c r="C109" s="7" t="s">
        <v>1217</v>
      </c>
      <c r="D109" s="7">
        <v>81000139808</v>
      </c>
      <c r="E109" s="7" t="s">
        <v>1216</v>
      </c>
      <c r="F109" s="2">
        <f>VLOOKUP(E109,'M10B Order'!B:G,6,FALSE)</f>
        <v>0</v>
      </c>
    </row>
    <row r="110" spans="1:6" x14ac:dyDescent="0.2">
      <c r="A110" s="7" t="s">
        <v>1147</v>
      </c>
      <c r="B110" s="7">
        <v>579058040</v>
      </c>
      <c r="C110" s="7" t="s">
        <v>1215</v>
      </c>
      <c r="D110" s="7">
        <v>81000139807</v>
      </c>
      <c r="E110" s="7" t="s">
        <v>1214</v>
      </c>
      <c r="F110" s="2">
        <f>VLOOKUP(E110,'M10B Order'!B:G,6,FALSE)</f>
        <v>0</v>
      </c>
    </row>
    <row r="111" spans="1:6" x14ac:dyDescent="0.2">
      <c r="A111" s="7" t="s">
        <v>1147</v>
      </c>
      <c r="B111" s="7">
        <v>579057997</v>
      </c>
      <c r="C111" s="7" t="s">
        <v>1213</v>
      </c>
      <c r="D111" s="7">
        <v>81000139805</v>
      </c>
      <c r="E111" s="7" t="s">
        <v>1212</v>
      </c>
      <c r="F111" s="2">
        <f>VLOOKUP(E111,'M10B Order'!B:G,6,FALSE)</f>
        <v>0</v>
      </c>
    </row>
    <row r="112" spans="1:6" x14ac:dyDescent="0.2">
      <c r="A112" s="7" t="s">
        <v>645</v>
      </c>
      <c r="B112" s="7">
        <v>569023445</v>
      </c>
      <c r="C112" s="7" t="s">
        <v>687</v>
      </c>
      <c r="D112" s="7">
        <v>81005603831</v>
      </c>
      <c r="E112" s="7" t="s">
        <v>686</v>
      </c>
      <c r="F112" s="2">
        <f>VLOOKUP(E112,'M10B Order'!B:G,6,FALSE)</f>
        <v>0</v>
      </c>
    </row>
    <row r="113" spans="1:6" x14ac:dyDescent="0.2">
      <c r="A113" s="7" t="s">
        <v>645</v>
      </c>
      <c r="B113" s="7">
        <v>569042299</v>
      </c>
      <c r="C113" s="7" t="s">
        <v>685</v>
      </c>
      <c r="D113" s="7">
        <v>81005603854</v>
      </c>
      <c r="E113" s="7" t="s">
        <v>684</v>
      </c>
      <c r="F113" s="2">
        <f>VLOOKUP(E113,'M10B Order'!B:G,6,FALSE)</f>
        <v>0</v>
      </c>
    </row>
    <row r="114" spans="1:6" x14ac:dyDescent="0.2">
      <c r="A114" s="7" t="s">
        <v>645</v>
      </c>
      <c r="B114" s="7">
        <v>569033440</v>
      </c>
      <c r="C114" s="7" t="s">
        <v>683</v>
      </c>
      <c r="D114" s="7">
        <v>81005603852</v>
      </c>
      <c r="E114" s="7" t="s">
        <v>682</v>
      </c>
      <c r="F114" s="2">
        <f>VLOOKUP(E114,'M10B Order'!B:G,6,FALSE)</f>
        <v>0</v>
      </c>
    </row>
    <row r="115" spans="1:6" x14ac:dyDescent="0.2">
      <c r="A115" s="7" t="s">
        <v>645</v>
      </c>
      <c r="B115" s="7">
        <v>569042287</v>
      </c>
      <c r="C115" s="7" t="s">
        <v>681</v>
      </c>
      <c r="D115" s="7">
        <v>81005603853</v>
      </c>
      <c r="E115" s="7" t="s">
        <v>680</v>
      </c>
      <c r="F115" s="2">
        <f>VLOOKUP(E115,'M10B Order'!B:G,6,FALSE)</f>
        <v>0</v>
      </c>
    </row>
    <row r="116" spans="1:6" x14ac:dyDescent="0.2">
      <c r="A116" s="7" t="s">
        <v>645</v>
      </c>
      <c r="B116" s="7">
        <v>569042311</v>
      </c>
      <c r="C116" s="7" t="s">
        <v>665</v>
      </c>
      <c r="D116" s="7">
        <v>81005603172</v>
      </c>
      <c r="E116" s="7" t="s">
        <v>664</v>
      </c>
      <c r="F116" s="2">
        <f>VLOOKUP(E116,'M10B Order'!B:G,6,FALSE)</f>
        <v>0</v>
      </c>
    </row>
    <row r="117" spans="1:6" x14ac:dyDescent="0.2">
      <c r="A117" s="7" t="s">
        <v>645</v>
      </c>
      <c r="B117" s="7">
        <v>569033178</v>
      </c>
      <c r="C117" s="7" t="s">
        <v>679</v>
      </c>
      <c r="D117" s="7">
        <v>81005603860</v>
      </c>
      <c r="E117" s="7" t="s">
        <v>678</v>
      </c>
      <c r="F117" s="2">
        <f>VLOOKUP(E117,'M10B Order'!B:G,6,FALSE)</f>
        <v>0</v>
      </c>
    </row>
    <row r="118" spans="1:6" x14ac:dyDescent="0.2">
      <c r="A118" s="7" t="s">
        <v>645</v>
      </c>
      <c r="B118" s="7">
        <v>569042289</v>
      </c>
      <c r="C118" s="7" t="s">
        <v>677</v>
      </c>
      <c r="D118" s="7">
        <v>81005603837</v>
      </c>
      <c r="E118" s="7" t="s">
        <v>676</v>
      </c>
      <c r="F118" s="2">
        <f>VLOOKUP(E118,'M10B Order'!B:G,6,FALSE)</f>
        <v>0</v>
      </c>
    </row>
    <row r="119" spans="1:6" x14ac:dyDescent="0.2">
      <c r="A119" s="7" t="s">
        <v>645</v>
      </c>
      <c r="B119" s="7">
        <v>569042308</v>
      </c>
      <c r="C119" s="7" t="s">
        <v>675</v>
      </c>
      <c r="D119" s="7">
        <v>81005603833</v>
      </c>
      <c r="E119" s="7" t="s">
        <v>674</v>
      </c>
      <c r="F119" s="2">
        <f>VLOOKUP(E119,'M10B Order'!B:G,6,FALSE)</f>
        <v>0</v>
      </c>
    </row>
    <row r="120" spans="1:6" x14ac:dyDescent="0.2">
      <c r="A120" s="7" t="s">
        <v>645</v>
      </c>
      <c r="B120" s="7">
        <v>569033127</v>
      </c>
      <c r="C120" s="7" t="s">
        <v>663</v>
      </c>
      <c r="D120" s="7">
        <v>81005603841</v>
      </c>
      <c r="E120" s="7" t="s">
        <v>662</v>
      </c>
      <c r="F120" s="2">
        <f>VLOOKUP(E120,'M10B Order'!B:G,6,FALSE)</f>
        <v>0</v>
      </c>
    </row>
    <row r="121" spans="1:6" x14ac:dyDescent="0.2">
      <c r="A121" s="7" t="s">
        <v>645</v>
      </c>
      <c r="B121" s="7">
        <v>569042313</v>
      </c>
      <c r="C121" s="7" t="s">
        <v>661</v>
      </c>
      <c r="D121" s="7">
        <v>81005603838</v>
      </c>
      <c r="E121" s="7" t="s">
        <v>660</v>
      </c>
      <c r="F121" s="2">
        <f>VLOOKUP(E121,'M10B Order'!B:G,6,FALSE)</f>
        <v>0</v>
      </c>
    </row>
    <row r="122" spans="1:6" x14ac:dyDescent="0.2">
      <c r="A122" s="7" t="s">
        <v>645</v>
      </c>
      <c r="B122" s="7">
        <v>569023433</v>
      </c>
      <c r="C122" s="7" t="s">
        <v>659</v>
      </c>
      <c r="D122" s="7">
        <v>81005603846</v>
      </c>
      <c r="E122" s="7" t="s">
        <v>658</v>
      </c>
      <c r="F122" s="2">
        <f>VLOOKUP(E122,'M10B Order'!B:G,6,FALSE)</f>
        <v>0</v>
      </c>
    </row>
    <row r="123" spans="1:6" x14ac:dyDescent="0.2">
      <c r="A123" s="7" t="s">
        <v>645</v>
      </c>
      <c r="B123" s="7">
        <v>569033441</v>
      </c>
      <c r="C123" s="7" t="s">
        <v>657</v>
      </c>
      <c r="D123" s="7">
        <v>81005603849</v>
      </c>
      <c r="E123" s="7" t="s">
        <v>656</v>
      </c>
      <c r="F123" s="2">
        <f>VLOOKUP(E123,'M10B Order'!B:G,6,FALSE)</f>
        <v>0</v>
      </c>
    </row>
    <row r="124" spans="1:6" x14ac:dyDescent="0.2">
      <c r="A124" s="7" t="s">
        <v>645</v>
      </c>
      <c r="B124" s="7">
        <v>569033286</v>
      </c>
      <c r="C124" s="7" t="s">
        <v>655</v>
      </c>
      <c r="D124" s="7">
        <v>81005603855</v>
      </c>
      <c r="E124" s="7" t="s">
        <v>654</v>
      </c>
      <c r="F124" s="2">
        <f>VLOOKUP(E124,'M10B Order'!B:G,6,FALSE)</f>
        <v>0</v>
      </c>
    </row>
    <row r="125" spans="1:6" x14ac:dyDescent="0.2">
      <c r="A125" s="7" t="s">
        <v>645</v>
      </c>
      <c r="B125" s="7">
        <v>569033505</v>
      </c>
      <c r="C125" s="7" t="s">
        <v>653</v>
      </c>
      <c r="D125" s="7">
        <v>81005603699</v>
      </c>
      <c r="E125" s="7" t="s">
        <v>652</v>
      </c>
      <c r="F125" s="2">
        <f>VLOOKUP(E125,'M10B Order'!B:G,6,FALSE)</f>
        <v>0</v>
      </c>
    </row>
    <row r="126" spans="1:6" x14ac:dyDescent="0.2">
      <c r="A126" s="7" t="s">
        <v>645</v>
      </c>
      <c r="B126" s="7">
        <v>569042309</v>
      </c>
      <c r="C126" s="7" t="s">
        <v>651</v>
      </c>
      <c r="D126" s="7">
        <v>81005603858</v>
      </c>
      <c r="E126" s="7" t="s">
        <v>650</v>
      </c>
      <c r="F126" s="2">
        <f>VLOOKUP(E126,'M10B Order'!B:G,6,FALSE)</f>
        <v>0</v>
      </c>
    </row>
    <row r="127" spans="1:6" x14ac:dyDescent="0.2">
      <c r="A127" s="7" t="s">
        <v>645</v>
      </c>
      <c r="B127" s="7">
        <v>569023441</v>
      </c>
      <c r="C127" s="7" t="s">
        <v>673</v>
      </c>
      <c r="D127" s="7">
        <v>81005603851</v>
      </c>
      <c r="E127" s="7" t="s">
        <v>672</v>
      </c>
      <c r="F127" s="2">
        <f>VLOOKUP(E127,'M10B Order'!B:G,6,FALSE)</f>
        <v>0</v>
      </c>
    </row>
    <row r="128" spans="1:6" x14ac:dyDescent="0.2">
      <c r="A128" s="7" t="s">
        <v>645</v>
      </c>
      <c r="B128" s="7">
        <v>569023426</v>
      </c>
      <c r="C128" s="7" t="s">
        <v>649</v>
      </c>
      <c r="D128" s="7">
        <v>81005603850</v>
      </c>
      <c r="E128" s="7" t="s">
        <v>648</v>
      </c>
      <c r="F128" s="2">
        <f>VLOOKUP(E128,'M10B Order'!B:G,6,FALSE)</f>
        <v>0</v>
      </c>
    </row>
    <row r="129" spans="1:6" x14ac:dyDescent="0.2">
      <c r="A129" s="7" t="s">
        <v>645</v>
      </c>
      <c r="B129" s="7">
        <v>569042281</v>
      </c>
      <c r="C129" s="7" t="s">
        <v>647</v>
      </c>
      <c r="D129" s="7">
        <v>81005603828</v>
      </c>
      <c r="E129" s="7" t="s">
        <v>646</v>
      </c>
      <c r="F129" s="2">
        <f>VLOOKUP(E129,'M10B Order'!B:G,6,FALSE)</f>
        <v>0</v>
      </c>
    </row>
    <row r="130" spans="1:6" x14ac:dyDescent="0.2">
      <c r="A130" s="7" t="s">
        <v>645</v>
      </c>
      <c r="B130" s="7">
        <v>569033498</v>
      </c>
      <c r="C130" s="7" t="s">
        <v>671</v>
      </c>
      <c r="D130" s="7">
        <v>81005603836</v>
      </c>
      <c r="E130" s="7" t="s">
        <v>670</v>
      </c>
      <c r="F130" s="2">
        <f>VLOOKUP(E130,'M10B Order'!B:G,6,FALSE)</f>
        <v>0</v>
      </c>
    </row>
    <row r="131" spans="1:6" x14ac:dyDescent="0.2">
      <c r="A131" s="7" t="s">
        <v>645</v>
      </c>
      <c r="B131" s="7">
        <v>569023430</v>
      </c>
      <c r="C131" s="7" t="s">
        <v>669</v>
      </c>
      <c r="D131" s="7">
        <v>81005603832</v>
      </c>
      <c r="E131" s="7" t="s">
        <v>668</v>
      </c>
      <c r="F131" s="2">
        <f>VLOOKUP(E131,'M10B Order'!B:G,6,FALSE)</f>
        <v>0</v>
      </c>
    </row>
    <row r="132" spans="1:6" x14ac:dyDescent="0.2">
      <c r="A132" s="7" t="s">
        <v>645</v>
      </c>
      <c r="B132" s="7">
        <v>569033064</v>
      </c>
      <c r="C132" s="7" t="s">
        <v>667</v>
      </c>
      <c r="D132" s="7">
        <v>81005603856</v>
      </c>
      <c r="E132" s="7" t="s">
        <v>666</v>
      </c>
      <c r="F132" s="2">
        <f>VLOOKUP(E132,'M10B Order'!B:G,6,FALSE)</f>
        <v>0</v>
      </c>
    </row>
    <row r="133" spans="1:6" x14ac:dyDescent="0.2">
      <c r="A133" s="7" t="s">
        <v>596</v>
      </c>
      <c r="B133" s="8">
        <v>567240461</v>
      </c>
      <c r="C133" s="7" t="s">
        <v>597</v>
      </c>
      <c r="D133" s="7">
        <v>81005603629</v>
      </c>
      <c r="E133" s="7" t="s">
        <v>598</v>
      </c>
      <c r="F133" s="2">
        <f>VLOOKUP(E133,'M10B Order'!B:G,6,FALSE)</f>
        <v>0</v>
      </c>
    </row>
    <row r="134" spans="1:6" x14ac:dyDescent="0.2">
      <c r="A134" s="7" t="s">
        <v>617</v>
      </c>
      <c r="B134" s="7">
        <v>569033437</v>
      </c>
      <c r="C134" s="7" t="s">
        <v>633</v>
      </c>
      <c r="D134" s="7">
        <v>81005603861</v>
      </c>
      <c r="E134" s="7" t="s">
        <v>632</v>
      </c>
      <c r="F134" s="2">
        <f>VLOOKUP(E134,'M10B Order'!B:G,6,FALSE)</f>
        <v>0</v>
      </c>
    </row>
    <row r="135" spans="1:6" x14ac:dyDescent="0.2">
      <c r="A135" s="7" t="s">
        <v>617</v>
      </c>
      <c r="B135" s="7">
        <v>569042265</v>
      </c>
      <c r="C135" s="7" t="s">
        <v>631</v>
      </c>
      <c r="D135" s="7">
        <v>81005603834</v>
      </c>
      <c r="E135" s="7" t="s">
        <v>630</v>
      </c>
      <c r="F135" s="2">
        <f>VLOOKUP(E135,'M10B Order'!B:G,6,FALSE)</f>
        <v>0</v>
      </c>
    </row>
    <row r="136" spans="1:6" x14ac:dyDescent="0.2">
      <c r="A136" s="7" t="s">
        <v>617</v>
      </c>
      <c r="B136" s="7">
        <v>569033500</v>
      </c>
      <c r="C136" s="7" t="s">
        <v>627</v>
      </c>
      <c r="D136" s="7">
        <v>81005603842</v>
      </c>
      <c r="E136" s="7" t="s">
        <v>626</v>
      </c>
      <c r="F136" s="2">
        <f>VLOOKUP(E136,'M10B Order'!B:G,6,FALSE)</f>
        <v>0</v>
      </c>
    </row>
    <row r="137" spans="1:6" x14ac:dyDescent="0.2">
      <c r="A137" s="7" t="s">
        <v>617</v>
      </c>
      <c r="B137" s="7">
        <v>569042285</v>
      </c>
      <c r="C137" s="7" t="s">
        <v>625</v>
      </c>
      <c r="D137" s="7">
        <v>81005603847</v>
      </c>
      <c r="E137" s="7" t="s">
        <v>624</v>
      </c>
      <c r="F137" s="2">
        <f>VLOOKUP(E137,'M10B Order'!B:G,6,FALSE)</f>
        <v>0</v>
      </c>
    </row>
    <row r="138" spans="1:6" x14ac:dyDescent="0.2">
      <c r="A138" s="7" t="s">
        <v>617</v>
      </c>
      <c r="B138" s="7">
        <v>569042274</v>
      </c>
      <c r="C138" s="7" t="s">
        <v>623</v>
      </c>
      <c r="D138" s="7">
        <v>81005603700</v>
      </c>
      <c r="E138" s="7" t="s">
        <v>622</v>
      </c>
      <c r="F138" s="2">
        <f>VLOOKUP(E138,'M10B Order'!B:G,6,FALSE)</f>
        <v>0</v>
      </c>
    </row>
    <row r="139" spans="1:6" x14ac:dyDescent="0.2">
      <c r="A139" s="7" t="s">
        <v>617</v>
      </c>
      <c r="B139" s="7">
        <v>569023432</v>
      </c>
      <c r="C139" s="7" t="s">
        <v>621</v>
      </c>
      <c r="D139" s="7">
        <v>81005603859</v>
      </c>
      <c r="E139" s="7" t="s">
        <v>620</v>
      </c>
      <c r="F139" s="2">
        <f>VLOOKUP(E139,'M10B Order'!B:G,6,FALSE)</f>
        <v>0</v>
      </c>
    </row>
    <row r="140" spans="1:6" x14ac:dyDescent="0.2">
      <c r="A140" s="7" t="s">
        <v>617</v>
      </c>
      <c r="B140" s="7">
        <v>569033211</v>
      </c>
      <c r="C140" s="7" t="s">
        <v>619</v>
      </c>
      <c r="D140" s="7">
        <v>81005603829</v>
      </c>
      <c r="E140" s="7" t="s">
        <v>618</v>
      </c>
      <c r="F140" s="2">
        <f>VLOOKUP(E140,'M10B Order'!B:G,6,FALSE)</f>
        <v>0</v>
      </c>
    </row>
    <row r="141" spans="1:6" x14ac:dyDescent="0.2">
      <c r="A141" s="7" t="s">
        <v>617</v>
      </c>
      <c r="B141" s="7">
        <v>569042290</v>
      </c>
      <c r="C141" s="7" t="s">
        <v>629</v>
      </c>
      <c r="D141" s="7">
        <v>81005603857</v>
      </c>
      <c r="E141" s="7" t="s">
        <v>628</v>
      </c>
      <c r="F141" s="2">
        <f>VLOOKUP(E141,'M10B Order'!B:G,6,FALSE)</f>
        <v>0</v>
      </c>
    </row>
    <row r="142" spans="1:6" x14ac:dyDescent="0.2">
      <c r="A142" s="7" t="s">
        <v>960</v>
      </c>
      <c r="B142" s="7">
        <v>573626524</v>
      </c>
      <c r="C142" s="7" t="s">
        <v>972</v>
      </c>
      <c r="D142" s="7">
        <v>81000139193</v>
      </c>
      <c r="E142" s="7" t="s">
        <v>971</v>
      </c>
      <c r="F142" s="2">
        <f>VLOOKUP(E142,'M10B Order'!B:G,6,FALSE)</f>
        <v>0</v>
      </c>
    </row>
    <row r="143" spans="1:6" x14ac:dyDescent="0.2">
      <c r="A143" s="7" t="s">
        <v>960</v>
      </c>
      <c r="B143" s="7">
        <v>573626506</v>
      </c>
      <c r="C143" s="7" t="s">
        <v>970</v>
      </c>
      <c r="D143" s="7">
        <v>81000139190</v>
      </c>
      <c r="E143" s="7" t="s">
        <v>969</v>
      </c>
      <c r="F143" s="2">
        <f>VLOOKUP(E143,'M10B Order'!B:G,6,FALSE)</f>
        <v>0</v>
      </c>
    </row>
    <row r="144" spans="1:6" x14ac:dyDescent="0.2">
      <c r="A144" s="7" t="s">
        <v>960</v>
      </c>
      <c r="B144" s="7">
        <v>573626485</v>
      </c>
      <c r="C144" s="7" t="s">
        <v>968</v>
      </c>
      <c r="D144" s="7">
        <v>81000139189</v>
      </c>
      <c r="E144" s="7" t="s">
        <v>967</v>
      </c>
      <c r="F144" s="2">
        <f>VLOOKUP(E144,'M10B Order'!B:G,6,FALSE)</f>
        <v>0</v>
      </c>
    </row>
    <row r="145" spans="1:6" x14ac:dyDescent="0.2">
      <c r="A145" s="7" t="s">
        <v>960</v>
      </c>
      <c r="B145" s="7">
        <v>573626486</v>
      </c>
      <c r="C145" s="7" t="s">
        <v>966</v>
      </c>
      <c r="D145" s="7">
        <v>81000139186</v>
      </c>
      <c r="E145" s="7" t="s">
        <v>965</v>
      </c>
      <c r="F145" s="2">
        <f>VLOOKUP(E145,'M10B Order'!B:G,6,FALSE)</f>
        <v>0</v>
      </c>
    </row>
    <row r="146" spans="1:6" x14ac:dyDescent="0.2">
      <c r="A146" s="7" t="s">
        <v>960</v>
      </c>
      <c r="B146" s="7">
        <v>573626521</v>
      </c>
      <c r="C146" s="7" t="s">
        <v>964</v>
      </c>
      <c r="D146" s="7">
        <v>81000139184</v>
      </c>
      <c r="E146" s="7" t="s">
        <v>963</v>
      </c>
      <c r="F146" s="2">
        <f>VLOOKUP(E146,'M10B Order'!B:G,6,FALSE)</f>
        <v>0</v>
      </c>
    </row>
    <row r="147" spans="1:6" x14ac:dyDescent="0.2">
      <c r="A147" s="7" t="s">
        <v>960</v>
      </c>
      <c r="B147" s="7">
        <v>573626540</v>
      </c>
      <c r="C147" s="7" t="s">
        <v>962</v>
      </c>
      <c r="D147" s="7">
        <v>81000139183</v>
      </c>
      <c r="E147" s="7" t="s">
        <v>961</v>
      </c>
      <c r="F147" s="2">
        <f>VLOOKUP(E147,'M10B Order'!B:G,6,FALSE)</f>
        <v>0</v>
      </c>
    </row>
    <row r="148" spans="1:6" x14ac:dyDescent="0.2">
      <c r="A148" s="7" t="s">
        <v>606</v>
      </c>
      <c r="B148" s="7">
        <v>569042312</v>
      </c>
      <c r="C148" s="7" t="s">
        <v>612</v>
      </c>
      <c r="D148" s="7">
        <v>81005603701</v>
      </c>
      <c r="E148" s="7" t="s">
        <v>611</v>
      </c>
      <c r="F148" s="2">
        <f>VLOOKUP(E148,'M10B Order'!B:G,6,FALSE)</f>
        <v>0</v>
      </c>
    </row>
    <row r="149" spans="1:6" x14ac:dyDescent="0.2">
      <c r="A149" s="7" t="s">
        <v>606</v>
      </c>
      <c r="B149" s="7">
        <v>569042280</v>
      </c>
      <c r="C149" s="7" t="s">
        <v>610</v>
      </c>
      <c r="D149" s="7">
        <v>81005603830</v>
      </c>
      <c r="E149" s="7" t="s">
        <v>609</v>
      </c>
      <c r="F149" s="2">
        <f>VLOOKUP(E149,'M10B Order'!B:G,6,FALSE)</f>
        <v>0</v>
      </c>
    </row>
    <row r="150" spans="1:6" x14ac:dyDescent="0.2">
      <c r="A150" s="7" t="s">
        <v>606</v>
      </c>
      <c r="B150" s="7">
        <v>569042291</v>
      </c>
      <c r="C150" s="7" t="s">
        <v>608</v>
      </c>
      <c r="D150" s="7">
        <v>81005603843</v>
      </c>
      <c r="E150" s="7" t="s">
        <v>607</v>
      </c>
      <c r="F150" s="2">
        <f>VLOOKUP(E150,'M10B Order'!B:G,6,FALSE)</f>
        <v>0</v>
      </c>
    </row>
    <row r="151" spans="1:6" x14ac:dyDescent="0.2">
      <c r="A151" s="7" t="s">
        <v>606</v>
      </c>
      <c r="B151" s="7">
        <v>569033356</v>
      </c>
      <c r="C151" s="7" t="s">
        <v>616</v>
      </c>
      <c r="D151" s="7">
        <v>81005603835</v>
      </c>
      <c r="E151" s="7" t="s">
        <v>615</v>
      </c>
      <c r="F151" s="2">
        <f>VLOOKUP(E151,'M10B Order'!B:G,6,FALSE)</f>
        <v>0</v>
      </c>
    </row>
    <row r="152" spans="1:6" x14ac:dyDescent="0.2">
      <c r="A152" s="7" t="s">
        <v>606</v>
      </c>
      <c r="B152" s="7">
        <v>569033434</v>
      </c>
      <c r="C152" s="7" t="s">
        <v>614</v>
      </c>
      <c r="D152" s="7">
        <v>81005603862</v>
      </c>
      <c r="E152" s="7" t="s">
        <v>613</v>
      </c>
      <c r="F152" s="2">
        <f>VLOOKUP(E152,'M10B Order'!B:G,6,FALSE)</f>
        <v>0</v>
      </c>
    </row>
    <row r="153" spans="1:6" x14ac:dyDescent="0.2">
      <c r="A153" s="7" t="s">
        <v>364</v>
      </c>
      <c r="B153" s="7">
        <v>554919914</v>
      </c>
      <c r="C153" s="7" t="s">
        <v>84</v>
      </c>
      <c r="D153" s="7">
        <v>81109801837</v>
      </c>
      <c r="E153" s="7" t="s">
        <v>85</v>
      </c>
      <c r="F153" s="2">
        <f>VLOOKUP(E153,'M10B Order'!B:G,6,FALSE)</f>
        <v>0</v>
      </c>
    </row>
    <row r="154" spans="1:6" x14ac:dyDescent="0.2">
      <c r="A154" s="7" t="s">
        <v>364</v>
      </c>
      <c r="B154" s="7">
        <v>554919496</v>
      </c>
      <c r="C154" s="7" t="s">
        <v>173</v>
      </c>
      <c r="D154" s="7">
        <v>81109801941</v>
      </c>
      <c r="E154" s="7" t="s">
        <v>174</v>
      </c>
      <c r="F154" s="2">
        <f>VLOOKUP(E154,'M10B Order'!B:G,6,FALSE)</f>
        <v>0</v>
      </c>
    </row>
    <row r="155" spans="1:6" x14ac:dyDescent="0.2">
      <c r="A155" s="7" t="s">
        <v>364</v>
      </c>
      <c r="B155" s="7">
        <v>554919494</v>
      </c>
      <c r="C155" s="7" t="s">
        <v>263</v>
      </c>
      <c r="D155" s="7">
        <v>81109801940</v>
      </c>
      <c r="E155" s="7" t="s">
        <v>264</v>
      </c>
      <c r="F155" s="2">
        <f>VLOOKUP(E155,'M10B Order'!B:G,6,FALSE)</f>
        <v>0</v>
      </c>
    </row>
    <row r="156" spans="1:6" x14ac:dyDescent="0.2">
      <c r="A156" s="7" t="s">
        <v>364</v>
      </c>
      <c r="B156" s="7">
        <v>554919511</v>
      </c>
      <c r="C156" s="7" t="s">
        <v>248</v>
      </c>
      <c r="D156" s="7">
        <v>81109801947</v>
      </c>
      <c r="E156" s="7" t="s">
        <v>249</v>
      </c>
      <c r="F156" s="2">
        <f>VLOOKUP(E156,'M10B Order'!B:G,6,FALSE)</f>
        <v>0</v>
      </c>
    </row>
    <row r="157" spans="1:6" x14ac:dyDescent="0.2">
      <c r="A157" s="7" t="s">
        <v>364</v>
      </c>
      <c r="B157" s="7">
        <v>554919544</v>
      </c>
      <c r="C157" s="7" t="s">
        <v>122</v>
      </c>
      <c r="D157" s="7">
        <v>81109801959</v>
      </c>
      <c r="E157" s="7" t="s">
        <v>123</v>
      </c>
      <c r="F157" s="2">
        <f>VLOOKUP(E157,'M10B Order'!B:G,6,FALSE)</f>
        <v>0</v>
      </c>
    </row>
    <row r="158" spans="1:6" x14ac:dyDescent="0.2">
      <c r="A158" s="7" t="s">
        <v>364</v>
      </c>
      <c r="B158" s="7">
        <v>554919541</v>
      </c>
      <c r="C158" s="7" t="s">
        <v>100</v>
      </c>
      <c r="D158" s="7">
        <v>81109801958</v>
      </c>
      <c r="E158" s="7" t="s">
        <v>101</v>
      </c>
      <c r="F158" s="2">
        <f>VLOOKUP(E158,'M10B Order'!B:G,6,FALSE)</f>
        <v>0</v>
      </c>
    </row>
    <row r="159" spans="1:6" x14ac:dyDescent="0.2">
      <c r="A159" s="7" t="s">
        <v>364</v>
      </c>
      <c r="B159" s="7">
        <v>554919547</v>
      </c>
      <c r="C159" s="7" t="s">
        <v>341</v>
      </c>
      <c r="D159" s="7">
        <v>81109801960</v>
      </c>
      <c r="E159" s="7" t="s">
        <v>342</v>
      </c>
      <c r="F159" s="2">
        <f>VLOOKUP(E159,'M10B Order'!B:G,6,FALSE)</f>
        <v>0</v>
      </c>
    </row>
    <row r="160" spans="1:6" x14ac:dyDescent="0.2">
      <c r="A160" s="7" t="s">
        <v>364</v>
      </c>
      <c r="B160" s="7">
        <v>554919550</v>
      </c>
      <c r="C160" s="7" t="s">
        <v>351</v>
      </c>
      <c r="D160" s="7">
        <v>81109801961</v>
      </c>
      <c r="E160" s="7" t="s">
        <v>352</v>
      </c>
      <c r="F160" s="2">
        <f>VLOOKUP(E160,'M10B Order'!B:G,6,FALSE)</f>
        <v>0</v>
      </c>
    </row>
    <row r="161" spans="1:6" x14ac:dyDescent="0.2">
      <c r="A161" s="7" t="s">
        <v>364</v>
      </c>
      <c r="B161" s="7">
        <v>554919841</v>
      </c>
      <c r="C161" s="7" t="s">
        <v>271</v>
      </c>
      <c r="D161" s="7">
        <v>81109801778</v>
      </c>
      <c r="E161" s="7" t="s">
        <v>272</v>
      </c>
      <c r="F161" s="2">
        <f>VLOOKUP(E161,'M10B Order'!B:G,6,FALSE)</f>
        <v>0</v>
      </c>
    </row>
    <row r="162" spans="1:6" x14ac:dyDescent="0.2">
      <c r="A162" s="7" t="s">
        <v>847</v>
      </c>
      <c r="B162" s="7">
        <v>573626630</v>
      </c>
      <c r="C162" s="7" t="s">
        <v>959</v>
      </c>
      <c r="D162" s="7">
        <v>81005603898</v>
      </c>
      <c r="E162" s="7" t="s">
        <v>958</v>
      </c>
      <c r="F162" s="2">
        <f>VLOOKUP(E162,'M10B Order'!B:G,6,FALSE)</f>
        <v>0</v>
      </c>
    </row>
    <row r="163" spans="1:6" x14ac:dyDescent="0.2">
      <c r="A163" s="7" t="s">
        <v>847</v>
      </c>
      <c r="B163" s="7">
        <v>573626636</v>
      </c>
      <c r="C163" s="7" t="s">
        <v>957</v>
      </c>
      <c r="D163" s="7">
        <v>81005603899</v>
      </c>
      <c r="E163" s="7" t="s">
        <v>956</v>
      </c>
      <c r="F163" s="2">
        <f>VLOOKUP(E163,'M10B Order'!B:G,6,FALSE)</f>
        <v>0</v>
      </c>
    </row>
    <row r="164" spans="1:6" x14ac:dyDescent="0.2">
      <c r="A164" s="7" t="s">
        <v>847</v>
      </c>
      <c r="B164" s="7">
        <v>573626613</v>
      </c>
      <c r="C164" s="7" t="s">
        <v>955</v>
      </c>
      <c r="D164" s="7">
        <v>81000139122</v>
      </c>
      <c r="E164" s="7" t="s">
        <v>954</v>
      </c>
      <c r="F164" s="2">
        <f>VLOOKUP(E164,'M10B Order'!B:G,6,FALSE)</f>
        <v>0</v>
      </c>
    </row>
    <row r="165" spans="1:6" x14ac:dyDescent="0.2">
      <c r="A165" s="7" t="s">
        <v>847</v>
      </c>
      <c r="B165" s="7">
        <v>573626628</v>
      </c>
      <c r="C165" s="7" t="s">
        <v>951</v>
      </c>
      <c r="D165" s="7">
        <v>81000139123</v>
      </c>
      <c r="E165" s="7" t="s">
        <v>950</v>
      </c>
      <c r="F165" s="2">
        <f>VLOOKUP(E165,'M10B Order'!B:G,6,FALSE)</f>
        <v>0</v>
      </c>
    </row>
    <row r="166" spans="1:6" x14ac:dyDescent="0.2">
      <c r="A166" s="7" t="s">
        <v>847</v>
      </c>
      <c r="B166" s="7">
        <v>573626624</v>
      </c>
      <c r="C166" s="7" t="s">
        <v>949</v>
      </c>
      <c r="D166" s="7">
        <v>81000139096</v>
      </c>
      <c r="E166" s="7" t="s">
        <v>948</v>
      </c>
      <c r="F166" s="2">
        <f>VLOOKUP(E166,'M10B Order'!B:G,6,FALSE)</f>
        <v>0</v>
      </c>
    </row>
    <row r="167" spans="1:6" x14ac:dyDescent="0.2">
      <c r="A167" s="7" t="s">
        <v>847</v>
      </c>
      <c r="B167" s="7">
        <v>573626685</v>
      </c>
      <c r="C167" s="7" t="s">
        <v>947</v>
      </c>
      <c r="D167" s="7">
        <v>81000139103</v>
      </c>
      <c r="E167" s="7" t="s">
        <v>946</v>
      </c>
      <c r="F167" s="2">
        <f>VLOOKUP(E167,'M10B Order'!B:G,6,FALSE)</f>
        <v>0</v>
      </c>
    </row>
    <row r="168" spans="1:6" x14ac:dyDescent="0.2">
      <c r="A168" s="7" t="s">
        <v>847</v>
      </c>
      <c r="B168" s="7">
        <v>573626692</v>
      </c>
      <c r="C168" s="7" t="s">
        <v>945</v>
      </c>
      <c r="D168" s="7">
        <v>81000139092</v>
      </c>
      <c r="E168" s="7" t="s">
        <v>944</v>
      </c>
      <c r="F168" s="2">
        <f>VLOOKUP(E168,'M10B Order'!B:G,6,FALSE)</f>
        <v>0</v>
      </c>
    </row>
    <row r="169" spans="1:6" x14ac:dyDescent="0.2">
      <c r="A169" s="7" t="s">
        <v>847</v>
      </c>
      <c r="B169" s="7">
        <v>573626634</v>
      </c>
      <c r="C169" s="7" t="s">
        <v>943</v>
      </c>
      <c r="D169" s="7">
        <v>81000139093</v>
      </c>
      <c r="E169" s="7" t="s">
        <v>942</v>
      </c>
      <c r="F169" s="2">
        <f>VLOOKUP(E169,'M10B Order'!B:G,6,FALSE)</f>
        <v>0</v>
      </c>
    </row>
    <row r="170" spans="1:6" x14ac:dyDescent="0.2">
      <c r="A170" s="7" t="s">
        <v>847</v>
      </c>
      <c r="B170" s="7">
        <v>573626697</v>
      </c>
      <c r="C170" s="7" t="s">
        <v>941</v>
      </c>
      <c r="D170" s="7">
        <v>81000139125</v>
      </c>
      <c r="E170" s="7" t="s">
        <v>940</v>
      </c>
      <c r="F170" s="2">
        <f>VLOOKUP(E170,'M10B Order'!B:G,6,FALSE)</f>
        <v>0</v>
      </c>
    </row>
    <row r="171" spans="1:6" x14ac:dyDescent="0.2">
      <c r="A171" s="7" t="s">
        <v>847</v>
      </c>
      <c r="B171" s="7">
        <v>573626696</v>
      </c>
      <c r="C171" s="7" t="s">
        <v>939</v>
      </c>
      <c r="D171" s="7">
        <v>81000139120</v>
      </c>
      <c r="E171" s="7" t="s">
        <v>938</v>
      </c>
      <c r="F171" s="2">
        <f>VLOOKUP(E171,'M10B Order'!B:G,6,FALSE)</f>
        <v>0</v>
      </c>
    </row>
    <row r="172" spans="1:6" x14ac:dyDescent="0.2">
      <c r="A172" s="7" t="s">
        <v>847</v>
      </c>
      <c r="B172" s="7">
        <v>573626690</v>
      </c>
      <c r="C172" s="7" t="s">
        <v>937</v>
      </c>
      <c r="D172" s="7">
        <v>81000139083</v>
      </c>
      <c r="E172" s="7" t="s">
        <v>936</v>
      </c>
      <c r="F172" s="2">
        <f>VLOOKUP(E172,'M10B Order'!B:G,6,FALSE)</f>
        <v>0</v>
      </c>
    </row>
    <row r="173" spans="1:6" x14ac:dyDescent="0.2">
      <c r="A173" s="7" t="s">
        <v>847</v>
      </c>
      <c r="B173" s="7">
        <v>573626680</v>
      </c>
      <c r="C173" s="7" t="s">
        <v>931</v>
      </c>
      <c r="D173" s="7">
        <v>81000139114</v>
      </c>
      <c r="E173" s="7" t="s">
        <v>930</v>
      </c>
      <c r="F173" s="2">
        <f>VLOOKUP(E173,'M10B Order'!B:G,6,FALSE)</f>
        <v>0</v>
      </c>
    </row>
    <row r="174" spans="1:6" x14ac:dyDescent="0.2">
      <c r="A174" s="7" t="s">
        <v>847</v>
      </c>
      <c r="B174" s="7">
        <v>573626683</v>
      </c>
      <c r="C174" s="7" t="s">
        <v>929</v>
      </c>
      <c r="D174" s="7">
        <v>81000139104</v>
      </c>
      <c r="E174" s="7" t="s">
        <v>928</v>
      </c>
      <c r="F174" s="2">
        <f>VLOOKUP(E174,'M10B Order'!B:G,6,FALSE)</f>
        <v>0</v>
      </c>
    </row>
    <row r="175" spans="1:6" x14ac:dyDescent="0.2">
      <c r="A175" s="7" t="s">
        <v>847</v>
      </c>
      <c r="B175" s="7">
        <v>573626616</v>
      </c>
      <c r="C175" s="7" t="s">
        <v>927</v>
      </c>
      <c r="D175" s="7">
        <v>81000139069</v>
      </c>
      <c r="E175" s="7" t="s">
        <v>926</v>
      </c>
      <c r="F175" s="2">
        <f>VLOOKUP(E175,'M10B Order'!B:G,6,FALSE)</f>
        <v>0</v>
      </c>
    </row>
    <row r="176" spans="1:6" x14ac:dyDescent="0.2">
      <c r="A176" s="7" t="s">
        <v>847</v>
      </c>
      <c r="B176" s="7">
        <v>573626610</v>
      </c>
      <c r="C176" s="7" t="s">
        <v>925</v>
      </c>
      <c r="D176" s="7">
        <v>81000139118</v>
      </c>
      <c r="E176" s="7" t="s">
        <v>924</v>
      </c>
      <c r="F176" s="2">
        <f>VLOOKUP(E176,'M10B Order'!B:G,6,FALSE)</f>
        <v>0</v>
      </c>
    </row>
    <row r="177" spans="1:6" x14ac:dyDescent="0.2">
      <c r="A177" s="7" t="s">
        <v>847</v>
      </c>
      <c r="B177" s="7">
        <v>573626679</v>
      </c>
      <c r="C177" s="7" t="s">
        <v>923</v>
      </c>
      <c r="D177" s="7">
        <v>81000139116</v>
      </c>
      <c r="E177" s="7" t="s">
        <v>922</v>
      </c>
      <c r="F177" s="2">
        <f>VLOOKUP(E177,'M10B Order'!B:G,6,FALSE)</f>
        <v>0</v>
      </c>
    </row>
    <row r="178" spans="1:6" x14ac:dyDescent="0.2">
      <c r="A178" s="7" t="s">
        <v>847</v>
      </c>
      <c r="B178" s="7">
        <v>573626684</v>
      </c>
      <c r="C178" s="7" t="s">
        <v>921</v>
      </c>
      <c r="D178" s="7">
        <v>81000139082</v>
      </c>
      <c r="E178" s="7" t="s">
        <v>920</v>
      </c>
      <c r="F178" s="2">
        <f>VLOOKUP(E178,'M10B Order'!B:G,6,FALSE)</f>
        <v>0</v>
      </c>
    </row>
    <row r="179" spans="1:6" x14ac:dyDescent="0.2">
      <c r="A179" s="7" t="s">
        <v>847</v>
      </c>
      <c r="B179" s="7">
        <v>573626637</v>
      </c>
      <c r="C179" s="7" t="s">
        <v>919</v>
      </c>
      <c r="D179" s="7">
        <v>81000139070</v>
      </c>
      <c r="E179" s="7" t="s">
        <v>918</v>
      </c>
      <c r="F179" s="2">
        <f>VLOOKUP(E179,'M10B Order'!B:G,6,FALSE)</f>
        <v>0</v>
      </c>
    </row>
    <row r="180" spans="1:6" x14ac:dyDescent="0.2">
      <c r="A180" s="7" t="s">
        <v>847</v>
      </c>
      <c r="B180" s="7">
        <v>573626625</v>
      </c>
      <c r="C180" s="7" t="s">
        <v>917</v>
      </c>
      <c r="D180" s="7">
        <v>81000139085</v>
      </c>
      <c r="E180" s="7" t="s">
        <v>916</v>
      </c>
      <c r="F180" s="2">
        <f>VLOOKUP(E180,'M10B Order'!B:G,6,FALSE)</f>
        <v>0</v>
      </c>
    </row>
    <row r="181" spans="1:6" x14ac:dyDescent="0.2">
      <c r="A181" s="7" t="s">
        <v>847</v>
      </c>
      <c r="B181" s="7">
        <v>573626622</v>
      </c>
      <c r="C181" s="7" t="s">
        <v>915</v>
      </c>
      <c r="D181" s="7">
        <v>81000139101</v>
      </c>
      <c r="E181" s="7" t="s">
        <v>914</v>
      </c>
      <c r="F181" s="2">
        <f>VLOOKUP(E181,'M10B Order'!B:G,6,FALSE)</f>
        <v>0</v>
      </c>
    </row>
    <row r="182" spans="1:6" x14ac:dyDescent="0.2">
      <c r="A182" s="7" t="s">
        <v>847</v>
      </c>
      <c r="B182" s="7">
        <v>573626626</v>
      </c>
      <c r="C182" s="7" t="s">
        <v>913</v>
      </c>
      <c r="D182" s="7">
        <v>81000139089</v>
      </c>
      <c r="E182" s="7" t="s">
        <v>912</v>
      </c>
      <c r="F182" s="2">
        <f>VLOOKUP(E182,'M10B Order'!B:G,6,FALSE)</f>
        <v>0</v>
      </c>
    </row>
    <row r="183" spans="1:6" x14ac:dyDescent="0.2">
      <c r="A183" s="7" t="s">
        <v>847</v>
      </c>
      <c r="B183" s="7">
        <v>573626627</v>
      </c>
      <c r="C183" s="7" t="s">
        <v>911</v>
      </c>
      <c r="D183" s="7">
        <v>81000139079</v>
      </c>
      <c r="E183" s="7" t="s">
        <v>910</v>
      </c>
      <c r="F183" s="2">
        <f>VLOOKUP(E183,'M10B Order'!B:G,6,FALSE)</f>
        <v>0</v>
      </c>
    </row>
    <row r="184" spans="1:6" x14ac:dyDescent="0.2">
      <c r="A184" s="7" t="s">
        <v>847</v>
      </c>
      <c r="B184" s="7">
        <v>573626682</v>
      </c>
      <c r="C184" s="7" t="s">
        <v>909</v>
      </c>
      <c r="D184" s="7">
        <v>81000139080</v>
      </c>
      <c r="E184" s="7" t="s">
        <v>908</v>
      </c>
      <c r="F184" s="2">
        <f>VLOOKUP(E184,'M10B Order'!B:G,6,FALSE)</f>
        <v>0</v>
      </c>
    </row>
    <row r="185" spans="1:6" x14ac:dyDescent="0.2">
      <c r="A185" s="7" t="s">
        <v>847</v>
      </c>
      <c r="B185" s="7">
        <v>573626688</v>
      </c>
      <c r="C185" s="7" t="s">
        <v>907</v>
      </c>
      <c r="D185" s="7">
        <v>81000139108</v>
      </c>
      <c r="E185" s="7" t="s">
        <v>906</v>
      </c>
      <c r="F185" s="2">
        <f>VLOOKUP(E185,'M10B Order'!B:G,6,FALSE)</f>
        <v>0</v>
      </c>
    </row>
    <row r="186" spans="1:6" x14ac:dyDescent="0.2">
      <c r="A186" s="7" t="s">
        <v>847</v>
      </c>
      <c r="B186" s="7">
        <v>573626633</v>
      </c>
      <c r="C186" s="7" t="s">
        <v>905</v>
      </c>
      <c r="D186" s="7">
        <v>81000139074</v>
      </c>
      <c r="E186" s="7" t="s">
        <v>904</v>
      </c>
      <c r="F186" s="2">
        <f>VLOOKUP(E186,'M10B Order'!B:G,6,FALSE)</f>
        <v>0</v>
      </c>
    </row>
    <row r="187" spans="1:6" x14ac:dyDescent="0.2">
      <c r="A187" s="7" t="s">
        <v>847</v>
      </c>
      <c r="B187" s="7">
        <v>573626675</v>
      </c>
      <c r="C187" s="7" t="s">
        <v>903</v>
      </c>
      <c r="D187" s="7">
        <v>81000139075</v>
      </c>
      <c r="E187" s="7" t="s">
        <v>902</v>
      </c>
      <c r="F187" s="2">
        <f>VLOOKUP(E187,'M10B Order'!B:G,6,FALSE)</f>
        <v>0</v>
      </c>
    </row>
    <row r="188" spans="1:6" x14ac:dyDescent="0.2">
      <c r="A188" s="7" t="s">
        <v>847</v>
      </c>
      <c r="B188" s="7">
        <v>573626689</v>
      </c>
      <c r="C188" s="7" t="s">
        <v>901</v>
      </c>
      <c r="D188" s="7">
        <v>81000139119</v>
      </c>
      <c r="E188" s="7" t="s">
        <v>900</v>
      </c>
      <c r="F188" s="2">
        <f>VLOOKUP(E188,'M10B Order'!B:G,6,FALSE)</f>
        <v>0</v>
      </c>
    </row>
    <row r="189" spans="1:6" x14ac:dyDescent="0.2">
      <c r="A189" s="7" t="s">
        <v>847</v>
      </c>
      <c r="B189" s="7">
        <v>573626674</v>
      </c>
      <c r="C189" s="7" t="s">
        <v>899</v>
      </c>
      <c r="D189" s="7">
        <v>81000139091</v>
      </c>
      <c r="E189" s="7" t="s">
        <v>898</v>
      </c>
      <c r="F189" s="2">
        <f>VLOOKUP(E189,'M10B Order'!B:G,6,FALSE)</f>
        <v>0</v>
      </c>
    </row>
    <row r="190" spans="1:6" x14ac:dyDescent="0.2">
      <c r="A190" s="7" t="s">
        <v>847</v>
      </c>
      <c r="B190" s="7">
        <v>573626678</v>
      </c>
      <c r="C190" s="7" t="s">
        <v>897</v>
      </c>
      <c r="D190" s="7">
        <v>81000139105</v>
      </c>
      <c r="E190" s="7" t="s">
        <v>896</v>
      </c>
      <c r="F190" s="2">
        <f>VLOOKUP(E190,'M10B Order'!B:G,6,FALSE)</f>
        <v>0</v>
      </c>
    </row>
    <row r="191" spans="1:6" x14ac:dyDescent="0.2">
      <c r="A191" s="7" t="s">
        <v>847</v>
      </c>
      <c r="B191" s="7">
        <v>573626538</v>
      </c>
      <c r="C191" s="7" t="s">
        <v>895</v>
      </c>
      <c r="D191" s="7">
        <v>81000139113</v>
      </c>
      <c r="E191" s="7" t="s">
        <v>894</v>
      </c>
      <c r="F191" s="2">
        <f>VLOOKUP(E191,'M10B Order'!B:G,6,FALSE)</f>
        <v>0</v>
      </c>
    </row>
    <row r="192" spans="1:6" x14ac:dyDescent="0.2">
      <c r="A192" s="7" t="s">
        <v>847</v>
      </c>
      <c r="B192" s="7">
        <v>573626503</v>
      </c>
      <c r="C192" s="7" t="s">
        <v>893</v>
      </c>
      <c r="D192" s="7">
        <v>81000139099</v>
      </c>
      <c r="E192" s="7" t="s">
        <v>892</v>
      </c>
      <c r="F192" s="2">
        <f>VLOOKUP(E192,'M10B Order'!B:G,6,FALSE)</f>
        <v>0</v>
      </c>
    </row>
    <row r="193" spans="1:9" x14ac:dyDescent="0.2">
      <c r="A193" s="7" t="s">
        <v>847</v>
      </c>
      <c r="B193" s="7">
        <v>573626546</v>
      </c>
      <c r="C193" s="7" t="s">
        <v>891</v>
      </c>
      <c r="D193" s="7">
        <v>81000139068</v>
      </c>
      <c r="E193" s="7" t="s">
        <v>890</v>
      </c>
      <c r="F193" s="2">
        <f>VLOOKUP(E193,'M10B Order'!B:G,6,FALSE)</f>
        <v>0</v>
      </c>
    </row>
    <row r="194" spans="1:9" x14ac:dyDescent="0.2">
      <c r="A194" s="7" t="s">
        <v>847</v>
      </c>
      <c r="B194" s="7">
        <v>573626502</v>
      </c>
      <c r="C194" s="7" t="s">
        <v>889</v>
      </c>
      <c r="D194" s="7">
        <v>81000139081</v>
      </c>
      <c r="E194" s="7" t="s">
        <v>888</v>
      </c>
      <c r="F194" s="2">
        <f>VLOOKUP(E194,'M10B Order'!B:G,6,FALSE)</f>
        <v>0</v>
      </c>
    </row>
    <row r="195" spans="1:9" x14ac:dyDescent="0.2">
      <c r="A195" s="7" t="s">
        <v>847</v>
      </c>
      <c r="B195" s="7">
        <v>573626492</v>
      </c>
      <c r="C195" s="7" t="s">
        <v>887</v>
      </c>
      <c r="D195" s="7">
        <v>81000139121</v>
      </c>
      <c r="E195" s="7" t="s">
        <v>886</v>
      </c>
      <c r="F195" s="2">
        <f>VLOOKUP(E195,'M10B Order'!B:G,6,FALSE)</f>
        <v>0</v>
      </c>
    </row>
    <row r="196" spans="1:9" x14ac:dyDescent="0.2">
      <c r="A196" s="7" t="s">
        <v>847</v>
      </c>
      <c r="B196" s="7">
        <v>573626493</v>
      </c>
      <c r="C196" s="7" t="s">
        <v>885</v>
      </c>
      <c r="D196" s="7">
        <v>81000139107</v>
      </c>
      <c r="E196" s="7" t="s">
        <v>884</v>
      </c>
      <c r="F196" s="2">
        <f>VLOOKUP(E196,'M10B Order'!B:G,6,FALSE)</f>
        <v>0</v>
      </c>
    </row>
    <row r="197" spans="1:9" x14ac:dyDescent="0.2">
      <c r="A197" s="7" t="s">
        <v>847</v>
      </c>
      <c r="B197" s="7">
        <v>573626534</v>
      </c>
      <c r="C197" s="7" t="s">
        <v>883</v>
      </c>
      <c r="D197" s="7">
        <v>81000139100</v>
      </c>
      <c r="E197" s="7" t="s">
        <v>882</v>
      </c>
      <c r="F197" s="2">
        <f>VLOOKUP(E197,'M10B Order'!B:G,6,FALSE)</f>
        <v>0</v>
      </c>
    </row>
    <row r="198" spans="1:9" x14ac:dyDescent="0.2">
      <c r="A198" s="7" t="s">
        <v>847</v>
      </c>
      <c r="B198" s="7">
        <v>573626532</v>
      </c>
      <c r="C198" s="7" t="s">
        <v>881</v>
      </c>
      <c r="D198" s="7">
        <v>81000139071</v>
      </c>
      <c r="E198" s="7" t="s">
        <v>880</v>
      </c>
      <c r="F198" s="2">
        <f>VLOOKUP(E198,'M10B Order'!B:G,6,FALSE)</f>
        <v>0</v>
      </c>
    </row>
    <row r="199" spans="1:9" x14ac:dyDescent="0.2">
      <c r="A199" s="7" t="s">
        <v>847</v>
      </c>
      <c r="B199" s="7">
        <v>573626500</v>
      </c>
      <c r="C199" s="7" t="s">
        <v>879</v>
      </c>
      <c r="D199" s="7">
        <v>81000139073</v>
      </c>
      <c r="E199" s="7" t="s">
        <v>878</v>
      </c>
      <c r="F199" s="2">
        <f>VLOOKUP(E199,'M10B Order'!B:G,6,FALSE)</f>
        <v>0</v>
      </c>
    </row>
    <row r="200" spans="1:9" x14ac:dyDescent="0.2">
      <c r="A200" s="7" t="s">
        <v>847</v>
      </c>
      <c r="B200" s="7">
        <v>573626501</v>
      </c>
      <c r="C200" s="7" t="s">
        <v>877</v>
      </c>
      <c r="D200" s="7">
        <v>81000139072</v>
      </c>
      <c r="E200" s="7" t="s">
        <v>876</v>
      </c>
      <c r="F200" s="2">
        <f>VLOOKUP(E200,'M10B Order'!B:G,6,FALSE)</f>
        <v>0</v>
      </c>
    </row>
    <row r="201" spans="1:9" x14ac:dyDescent="0.2">
      <c r="A201" s="7" t="s">
        <v>847</v>
      </c>
      <c r="B201" s="7">
        <v>573626497</v>
      </c>
      <c r="C201" s="7" t="s">
        <v>875</v>
      </c>
      <c r="D201" s="7">
        <v>81000139087</v>
      </c>
      <c r="E201" s="7" t="s">
        <v>874</v>
      </c>
      <c r="F201" s="2">
        <f>VLOOKUP(E201,'M10B Order'!B:G,6,FALSE)</f>
        <v>0</v>
      </c>
    </row>
    <row r="202" spans="1:9" x14ac:dyDescent="0.2">
      <c r="A202" s="7" t="s">
        <v>847</v>
      </c>
      <c r="B202" s="7">
        <v>573626495</v>
      </c>
      <c r="C202" s="7" t="s">
        <v>873</v>
      </c>
      <c r="D202" s="7">
        <v>81000139112</v>
      </c>
      <c r="E202" s="7" t="s">
        <v>872</v>
      </c>
      <c r="F202" s="2">
        <f>VLOOKUP(E202,'M10B Order'!B:G,6,FALSE)</f>
        <v>0</v>
      </c>
    </row>
    <row r="203" spans="1:9" x14ac:dyDescent="0.2">
      <c r="A203" s="7" t="s">
        <v>847</v>
      </c>
      <c r="B203" s="7">
        <v>573626499</v>
      </c>
      <c r="C203" s="7" t="s">
        <v>871</v>
      </c>
      <c r="D203" s="7">
        <v>81000139095</v>
      </c>
      <c r="E203" s="7" t="s">
        <v>870</v>
      </c>
      <c r="F203" s="2">
        <f>VLOOKUP(E203,'M10B Order'!B:G,6,FALSE)</f>
        <v>0</v>
      </c>
    </row>
    <row r="204" spans="1:9" x14ac:dyDescent="0.2">
      <c r="A204" s="7" t="s">
        <v>847</v>
      </c>
      <c r="B204" s="7">
        <v>573626530</v>
      </c>
      <c r="C204" s="7" t="s">
        <v>869</v>
      </c>
      <c r="D204" s="7">
        <v>81000139088</v>
      </c>
      <c r="E204" s="7" t="s">
        <v>868</v>
      </c>
      <c r="F204" s="2">
        <f>VLOOKUP(E204,'M10B Order'!B:G,6,FALSE)</f>
        <v>0</v>
      </c>
    </row>
    <row r="205" spans="1:9" x14ac:dyDescent="0.2">
      <c r="A205" s="7" t="s">
        <v>847</v>
      </c>
      <c r="B205" s="7">
        <v>573626507</v>
      </c>
      <c r="C205" s="7" t="s">
        <v>867</v>
      </c>
      <c r="D205" s="7">
        <v>81000139090</v>
      </c>
      <c r="E205" s="7" t="s">
        <v>866</v>
      </c>
      <c r="F205" s="2">
        <f>VLOOKUP(E205,'M10B Order'!B:G,6,FALSE)</f>
        <v>0</v>
      </c>
    </row>
    <row r="206" spans="1:9" x14ac:dyDescent="0.2">
      <c r="A206" s="7" t="s">
        <v>847</v>
      </c>
      <c r="B206" s="7">
        <v>573626494</v>
      </c>
      <c r="C206" s="7" t="s">
        <v>865</v>
      </c>
      <c r="D206" s="7">
        <v>81000139102</v>
      </c>
      <c r="E206" s="7" t="s">
        <v>864</v>
      </c>
      <c r="F206" s="2">
        <f>VLOOKUP(E206,'M10B Order'!B:G,6,FALSE)</f>
        <v>0</v>
      </c>
    </row>
    <row r="207" spans="1:9" x14ac:dyDescent="0.2">
      <c r="A207" s="7" t="s">
        <v>847</v>
      </c>
      <c r="B207" s="7">
        <v>573626509</v>
      </c>
      <c r="C207" s="7" t="s">
        <v>863</v>
      </c>
      <c r="D207" s="7">
        <v>81000139117</v>
      </c>
      <c r="E207" s="7" t="s">
        <v>862</v>
      </c>
      <c r="F207" s="2">
        <f>VLOOKUP(E207,'M10B Order'!B:G,6,FALSE)</f>
        <v>0</v>
      </c>
    </row>
    <row r="208" spans="1:9" x14ac:dyDescent="0.2">
      <c r="A208" s="7" t="s">
        <v>847</v>
      </c>
      <c r="B208" s="7">
        <v>573626536</v>
      </c>
      <c r="C208" s="7" t="s">
        <v>861</v>
      </c>
      <c r="D208" s="7">
        <v>81000139097</v>
      </c>
      <c r="E208" s="7" t="s">
        <v>860</v>
      </c>
      <c r="F208" s="2">
        <f>VLOOKUP(E208,'M10B Order'!B:G,6,FALSE)</f>
        <v>0</v>
      </c>
      <c r="I208"/>
    </row>
    <row r="209" spans="1:9" x14ac:dyDescent="0.2">
      <c r="A209" s="7" t="s">
        <v>847</v>
      </c>
      <c r="B209" s="7">
        <v>573626518</v>
      </c>
      <c r="C209" s="7" t="s">
        <v>859</v>
      </c>
      <c r="D209" s="7">
        <v>81000139084</v>
      </c>
      <c r="E209" s="7" t="s">
        <v>858</v>
      </c>
      <c r="F209" s="2">
        <f>VLOOKUP(E209,'M10B Order'!B:G,6,FALSE)</f>
        <v>0</v>
      </c>
      <c r="I209"/>
    </row>
    <row r="210" spans="1:9" x14ac:dyDescent="0.2">
      <c r="A210" s="7" t="s">
        <v>847</v>
      </c>
      <c r="B210" s="7">
        <v>573626526</v>
      </c>
      <c r="C210" s="7" t="s">
        <v>855</v>
      </c>
      <c r="D210" s="7">
        <v>81000139086</v>
      </c>
      <c r="E210" s="7" t="s">
        <v>854</v>
      </c>
      <c r="F210" s="2">
        <f>VLOOKUP(E210,'M10B Order'!B:G,6,FALSE)</f>
        <v>0</v>
      </c>
      <c r="I210"/>
    </row>
    <row r="211" spans="1:9" x14ac:dyDescent="0.2">
      <c r="A211" s="7" t="s">
        <v>847</v>
      </c>
      <c r="B211" s="7">
        <v>573626510</v>
      </c>
      <c r="C211" s="7" t="s">
        <v>853</v>
      </c>
      <c r="D211" s="7">
        <v>81000139115</v>
      </c>
      <c r="E211" s="7" t="s">
        <v>852</v>
      </c>
      <c r="F211" s="2">
        <f>VLOOKUP(E211,'M10B Order'!B:G,6,FALSE)</f>
        <v>0</v>
      </c>
      <c r="I211"/>
    </row>
    <row r="212" spans="1:9" x14ac:dyDescent="0.2">
      <c r="A212" s="7" t="s">
        <v>847</v>
      </c>
      <c r="B212" s="7">
        <v>573626511</v>
      </c>
      <c r="C212" s="7" t="s">
        <v>851</v>
      </c>
      <c r="D212" s="7">
        <v>81000139109</v>
      </c>
      <c r="E212" s="7" t="s">
        <v>850</v>
      </c>
      <c r="F212" s="2">
        <f>VLOOKUP(E212,'M10B Order'!B:G,6,FALSE)</f>
        <v>0</v>
      </c>
      <c r="I212"/>
    </row>
    <row r="213" spans="1:9" x14ac:dyDescent="0.2">
      <c r="A213" s="7" t="s">
        <v>847</v>
      </c>
      <c r="B213" s="7">
        <v>573626566</v>
      </c>
      <c r="C213" s="7" t="s">
        <v>849</v>
      </c>
      <c r="D213" s="7">
        <v>81000139124</v>
      </c>
      <c r="E213" s="7" t="s">
        <v>848</v>
      </c>
      <c r="F213" s="2">
        <f>VLOOKUP(E213,'M10B Order'!B:G,6,FALSE)</f>
        <v>0</v>
      </c>
      <c r="I213"/>
    </row>
    <row r="214" spans="1:9" x14ac:dyDescent="0.2">
      <c r="A214" s="7" t="s">
        <v>1378</v>
      </c>
      <c r="B214" s="7">
        <v>579058016</v>
      </c>
      <c r="C214" s="7" t="s">
        <v>1380</v>
      </c>
      <c r="D214" s="7">
        <v>81000139796</v>
      </c>
      <c r="E214" s="7" t="s">
        <v>1379</v>
      </c>
      <c r="F214" s="2">
        <f>VLOOKUP(E214,'M10B Order'!B:G,6,FALSE)</f>
        <v>0</v>
      </c>
      <c r="I214"/>
    </row>
    <row r="215" spans="1:9" x14ac:dyDescent="0.2">
      <c r="A215" s="7" t="s">
        <v>1378</v>
      </c>
      <c r="B215" s="7">
        <v>579058022</v>
      </c>
      <c r="C215" s="7" t="s">
        <v>1382</v>
      </c>
      <c r="D215" s="7">
        <v>81000139821</v>
      </c>
      <c r="E215" s="7" t="s">
        <v>1381</v>
      </c>
      <c r="F215" s="2">
        <f>VLOOKUP(E215,'M10B Order'!B:G,6,FALSE)</f>
        <v>0</v>
      </c>
      <c r="I215"/>
    </row>
    <row r="216" spans="1:9" x14ac:dyDescent="0.2">
      <c r="A216" s="7" t="s">
        <v>1378</v>
      </c>
      <c r="B216" s="7">
        <v>579058103</v>
      </c>
      <c r="C216" s="7" t="s">
        <v>1392</v>
      </c>
      <c r="D216" s="7">
        <v>81000139812</v>
      </c>
      <c r="E216" s="7" t="s">
        <v>1391</v>
      </c>
      <c r="F216" s="2">
        <f>VLOOKUP(E216,'M10B Order'!B:G,6,FALSE)</f>
        <v>0</v>
      </c>
      <c r="I216"/>
    </row>
    <row r="217" spans="1:9" x14ac:dyDescent="0.2">
      <c r="A217" s="7" t="s">
        <v>1378</v>
      </c>
      <c r="B217" s="7">
        <v>579058045</v>
      </c>
      <c r="C217" s="7" t="s">
        <v>1384</v>
      </c>
      <c r="D217" s="7">
        <v>81000139820</v>
      </c>
      <c r="E217" s="7" t="s">
        <v>1383</v>
      </c>
      <c r="F217" s="2">
        <f>VLOOKUP(E217,'M10B Order'!B:G,6,FALSE)</f>
        <v>0</v>
      </c>
      <c r="I217"/>
    </row>
    <row r="218" spans="1:9" x14ac:dyDescent="0.2">
      <c r="A218" s="7" t="s">
        <v>1378</v>
      </c>
      <c r="B218" s="7">
        <v>579058018</v>
      </c>
      <c r="C218" s="7" t="s">
        <v>1386</v>
      </c>
      <c r="D218" s="7">
        <v>81000139794</v>
      </c>
      <c r="E218" s="7" t="s">
        <v>1385</v>
      </c>
      <c r="F218" s="2">
        <f>VLOOKUP(E218,'M10B Order'!B:G,6,FALSE)</f>
        <v>0</v>
      </c>
      <c r="I218"/>
    </row>
    <row r="219" spans="1:9" x14ac:dyDescent="0.2">
      <c r="A219" s="7" t="s">
        <v>1378</v>
      </c>
      <c r="B219" s="7">
        <v>579058009</v>
      </c>
      <c r="C219" s="7" t="s">
        <v>1388</v>
      </c>
      <c r="D219" s="7">
        <v>81000139848</v>
      </c>
      <c r="E219" s="7" t="s">
        <v>1387</v>
      </c>
      <c r="F219" s="2">
        <f>VLOOKUP(E219,'M10B Order'!B:G,6,FALSE)</f>
        <v>0</v>
      </c>
      <c r="I219"/>
    </row>
    <row r="220" spans="1:9" x14ac:dyDescent="0.2">
      <c r="A220" s="7" t="s">
        <v>1378</v>
      </c>
      <c r="B220" s="7">
        <v>579058049</v>
      </c>
      <c r="C220" s="7" t="s">
        <v>1390</v>
      </c>
      <c r="D220" s="7">
        <v>81000139838</v>
      </c>
      <c r="E220" s="7" t="s">
        <v>1389</v>
      </c>
      <c r="F220" s="2">
        <f>VLOOKUP(E220,'M10B Order'!B:G,6,FALSE)</f>
        <v>0</v>
      </c>
      <c r="I220"/>
    </row>
    <row r="221" spans="1:9" x14ac:dyDescent="0.2">
      <c r="A221" s="7" t="s">
        <v>1378</v>
      </c>
      <c r="B221" s="7">
        <v>579057998</v>
      </c>
      <c r="C221" s="7" t="s">
        <v>1394</v>
      </c>
      <c r="D221" s="7">
        <v>81000139795</v>
      </c>
      <c r="E221" s="7" t="s">
        <v>1393</v>
      </c>
      <c r="F221" s="2">
        <f>VLOOKUP(E221,'M10B Order'!B:G,6,FALSE)</f>
        <v>0</v>
      </c>
      <c r="I221"/>
    </row>
    <row r="222" spans="1:9" x14ac:dyDescent="0.2">
      <c r="A222" s="7" t="s">
        <v>1378</v>
      </c>
      <c r="B222" s="7">
        <v>579058006</v>
      </c>
      <c r="C222" s="7" t="s">
        <v>1396</v>
      </c>
      <c r="D222" s="7">
        <v>81000139855</v>
      </c>
      <c r="E222" s="7" t="s">
        <v>1395</v>
      </c>
      <c r="F222" s="2">
        <f>VLOOKUP(E222,'M10B Order'!B:G,6,FALSE)</f>
        <v>0</v>
      </c>
      <c r="I222"/>
    </row>
    <row r="223" spans="1:9" x14ac:dyDescent="0.2">
      <c r="A223" s="7" t="s">
        <v>1378</v>
      </c>
      <c r="B223" s="7">
        <v>579058157</v>
      </c>
      <c r="C223" s="7" t="s">
        <v>1400</v>
      </c>
      <c r="D223" s="7">
        <v>81000139804</v>
      </c>
      <c r="E223" s="7" t="s">
        <v>1399</v>
      </c>
      <c r="F223" s="2">
        <f>VLOOKUP(E223,'M10B Order'!B:G,6,FALSE)</f>
        <v>0</v>
      </c>
      <c r="I223"/>
    </row>
    <row r="224" spans="1:9" x14ac:dyDescent="0.2">
      <c r="A224" s="7" t="s">
        <v>1378</v>
      </c>
      <c r="B224" s="7">
        <v>579058113</v>
      </c>
      <c r="C224" s="7" t="s">
        <v>1402</v>
      </c>
      <c r="D224" s="7">
        <v>81000139822</v>
      </c>
      <c r="E224" s="7" t="s">
        <v>1401</v>
      </c>
      <c r="F224" s="2">
        <f>VLOOKUP(E224,'M10B Order'!B:G,6,FALSE)</f>
        <v>0</v>
      </c>
    </row>
    <row r="225" spans="1:6" x14ac:dyDescent="0.2">
      <c r="A225" s="7" t="s">
        <v>1378</v>
      </c>
      <c r="B225" s="7">
        <v>579058047</v>
      </c>
      <c r="C225" s="7" t="s">
        <v>1398</v>
      </c>
      <c r="D225" s="7">
        <v>81000139839</v>
      </c>
      <c r="E225" s="7" t="s">
        <v>1397</v>
      </c>
      <c r="F225" s="2">
        <f>VLOOKUP(E225,'M10B Order'!B:G,6,FALSE)</f>
        <v>0</v>
      </c>
    </row>
    <row r="226" spans="1:6" x14ac:dyDescent="0.2">
      <c r="A226" s="7" t="s">
        <v>1378</v>
      </c>
      <c r="B226" s="7">
        <v>579058021</v>
      </c>
      <c r="C226" s="7" t="s">
        <v>1404</v>
      </c>
      <c r="D226" s="7">
        <v>81000139832</v>
      </c>
      <c r="E226" s="7" t="s">
        <v>1403</v>
      </c>
      <c r="F226" s="2">
        <f>VLOOKUP(E226,'M10B Order'!B:G,6,FALSE)</f>
        <v>0</v>
      </c>
    </row>
    <row r="227" spans="1:6" x14ac:dyDescent="0.2">
      <c r="A227" s="7" t="s">
        <v>1378</v>
      </c>
      <c r="B227" s="7">
        <v>579058011</v>
      </c>
      <c r="C227" s="7" t="s">
        <v>1414</v>
      </c>
      <c r="D227" s="7">
        <v>81000139835</v>
      </c>
      <c r="E227" s="7" t="s">
        <v>1413</v>
      </c>
      <c r="F227" s="2">
        <f>VLOOKUP(E227,'M10B Order'!B:G,6,FALSE)</f>
        <v>0</v>
      </c>
    </row>
    <row r="228" spans="1:6" x14ac:dyDescent="0.2">
      <c r="A228" s="7" t="s">
        <v>1378</v>
      </c>
      <c r="B228" s="7">
        <v>579058024</v>
      </c>
      <c r="C228" s="7" t="s">
        <v>1416</v>
      </c>
      <c r="D228" s="7">
        <v>81000139849</v>
      </c>
      <c r="E228" s="7" t="s">
        <v>1415</v>
      </c>
      <c r="F228" s="2">
        <f>VLOOKUP(E228,'M10B Order'!B:G,6,FALSE)</f>
        <v>0</v>
      </c>
    </row>
    <row r="229" spans="1:6" x14ac:dyDescent="0.2">
      <c r="A229" s="7" t="s">
        <v>1378</v>
      </c>
      <c r="B229" s="7">
        <v>579058014</v>
      </c>
      <c r="C229" s="7" t="s">
        <v>1406</v>
      </c>
      <c r="D229" s="7">
        <v>81000139846</v>
      </c>
      <c r="E229" s="7" t="s">
        <v>1405</v>
      </c>
      <c r="F229" s="2">
        <f>VLOOKUP(E229,'M10B Order'!B:G,6,FALSE)</f>
        <v>0</v>
      </c>
    </row>
    <row r="230" spans="1:6" x14ac:dyDescent="0.2">
      <c r="A230" s="7" t="s">
        <v>1378</v>
      </c>
      <c r="B230" s="7">
        <v>579058115</v>
      </c>
      <c r="C230" s="7" t="s">
        <v>1408</v>
      </c>
      <c r="D230" s="7">
        <v>81000139837</v>
      </c>
      <c r="E230" s="7" t="s">
        <v>1407</v>
      </c>
      <c r="F230" s="2">
        <f>VLOOKUP(E230,'M10B Order'!B:G,6,FALSE)</f>
        <v>0</v>
      </c>
    </row>
    <row r="231" spans="1:6" x14ac:dyDescent="0.2">
      <c r="A231" s="7" t="s">
        <v>1378</v>
      </c>
      <c r="B231" s="7">
        <v>579058020</v>
      </c>
      <c r="C231" s="7" t="s">
        <v>1410</v>
      </c>
      <c r="D231" s="7">
        <v>81000139850</v>
      </c>
      <c r="E231" s="7" t="s">
        <v>1409</v>
      </c>
      <c r="F231" s="2">
        <f>VLOOKUP(E231,'M10B Order'!B:G,6,FALSE)</f>
        <v>0</v>
      </c>
    </row>
    <row r="232" spans="1:6" x14ac:dyDescent="0.2">
      <c r="A232" s="7" t="s">
        <v>1378</v>
      </c>
      <c r="B232" s="7">
        <v>579058068</v>
      </c>
      <c r="C232" s="7" t="s">
        <v>1412</v>
      </c>
      <c r="D232" s="7">
        <v>81000139853</v>
      </c>
      <c r="E232" s="7" t="s">
        <v>1411</v>
      </c>
      <c r="F232" s="2">
        <f>VLOOKUP(E232,'M10B Order'!B:G,6,FALSE)</f>
        <v>0</v>
      </c>
    </row>
    <row r="233" spans="1:6" x14ac:dyDescent="0.2">
      <c r="A233" s="7" t="s">
        <v>1378</v>
      </c>
      <c r="B233" s="7">
        <v>579058017</v>
      </c>
      <c r="C233" s="7" t="s">
        <v>1420</v>
      </c>
      <c r="D233" s="7">
        <v>81000139825</v>
      </c>
      <c r="E233" s="7" t="s">
        <v>1419</v>
      </c>
      <c r="F233" s="2">
        <f>VLOOKUP(E233,'M10B Order'!B:G,6,FALSE)</f>
        <v>0</v>
      </c>
    </row>
    <row r="234" spans="1:6" x14ac:dyDescent="0.2">
      <c r="A234" s="7" t="s">
        <v>1378</v>
      </c>
      <c r="B234" s="7">
        <v>579058121</v>
      </c>
      <c r="C234" s="7" t="s">
        <v>1422</v>
      </c>
      <c r="D234" s="7">
        <v>81000139845</v>
      </c>
      <c r="E234" s="7" t="s">
        <v>1421</v>
      </c>
      <c r="F234" s="2">
        <f>VLOOKUP(E234,'M10B Order'!B:G,6,FALSE)</f>
        <v>0</v>
      </c>
    </row>
    <row r="235" spans="1:6" x14ac:dyDescent="0.2">
      <c r="A235" s="7" t="s">
        <v>1378</v>
      </c>
      <c r="B235" s="7">
        <v>579058012</v>
      </c>
      <c r="C235" s="7" t="s">
        <v>1418</v>
      </c>
      <c r="D235" s="7">
        <v>81000139813</v>
      </c>
      <c r="E235" s="7" t="s">
        <v>1417</v>
      </c>
      <c r="F235" s="2">
        <f>VLOOKUP(E235,'M10B Order'!B:G,6,FALSE)</f>
        <v>0</v>
      </c>
    </row>
    <row r="236" spans="1:6" x14ac:dyDescent="0.2">
      <c r="A236" s="7" t="s">
        <v>1378</v>
      </c>
      <c r="B236" s="7">
        <v>579058015</v>
      </c>
      <c r="C236" s="7" t="s">
        <v>1424</v>
      </c>
      <c r="D236" s="7">
        <v>81000139840</v>
      </c>
      <c r="E236" s="7" t="s">
        <v>1423</v>
      </c>
      <c r="F236" s="2">
        <f>VLOOKUP(E236,'M10B Order'!B:G,6,FALSE)</f>
        <v>0</v>
      </c>
    </row>
    <row r="237" spans="1:6" x14ac:dyDescent="0.2">
      <c r="A237" s="7" t="s">
        <v>1378</v>
      </c>
      <c r="B237" s="7">
        <v>579058000</v>
      </c>
      <c r="C237" s="7" t="s">
        <v>1426</v>
      </c>
      <c r="D237" s="7">
        <v>81000139826</v>
      </c>
      <c r="E237" s="7" t="s">
        <v>1425</v>
      </c>
      <c r="F237" s="2">
        <f>VLOOKUP(E237,'M10B Order'!B:G,6,FALSE)</f>
        <v>0</v>
      </c>
    </row>
    <row r="238" spans="1:6" x14ac:dyDescent="0.2">
      <c r="A238" s="7" t="s">
        <v>1378</v>
      </c>
      <c r="B238" s="7">
        <v>579058035</v>
      </c>
      <c r="C238" s="7" t="s">
        <v>1428</v>
      </c>
      <c r="D238" s="7">
        <v>81000139852</v>
      </c>
      <c r="E238" s="7" t="s">
        <v>1427</v>
      </c>
      <c r="F238" s="2">
        <f>VLOOKUP(E238,'M10B Order'!B:G,6,FALSE)</f>
        <v>0</v>
      </c>
    </row>
    <row r="239" spans="1:6" x14ac:dyDescent="0.2">
      <c r="A239" s="7" t="s">
        <v>1378</v>
      </c>
      <c r="B239" s="7">
        <v>579058028</v>
      </c>
      <c r="C239" s="7" t="s">
        <v>1430</v>
      </c>
      <c r="D239" s="7">
        <v>81000139824</v>
      </c>
      <c r="E239" s="7" t="s">
        <v>1429</v>
      </c>
      <c r="F239" s="2">
        <f>VLOOKUP(E239,'M10B Order'!B:G,6,FALSE)</f>
        <v>0</v>
      </c>
    </row>
    <row r="240" spans="1:6" x14ac:dyDescent="0.2">
      <c r="A240" s="7" t="s">
        <v>1378</v>
      </c>
      <c r="B240" s="7">
        <v>579058098</v>
      </c>
      <c r="C240" s="7" t="s">
        <v>1440</v>
      </c>
      <c r="D240" s="7">
        <v>81000139834</v>
      </c>
      <c r="E240" s="7" t="s">
        <v>1439</v>
      </c>
      <c r="F240" s="2">
        <f>VLOOKUP(E240,'M10B Order'!B:G,6,FALSE)</f>
        <v>0</v>
      </c>
    </row>
    <row r="241" spans="1:6" x14ac:dyDescent="0.2">
      <c r="A241" s="7" t="s">
        <v>1378</v>
      </c>
      <c r="B241" s="7">
        <v>579057999</v>
      </c>
      <c r="C241" s="7" t="s">
        <v>1438</v>
      </c>
      <c r="D241" s="7">
        <v>81000139843</v>
      </c>
      <c r="E241" s="7" t="s">
        <v>1437</v>
      </c>
      <c r="F241" s="2">
        <f>VLOOKUP(E241,'M10B Order'!B:G,6,FALSE)</f>
        <v>0</v>
      </c>
    </row>
    <row r="242" spans="1:6" x14ac:dyDescent="0.2">
      <c r="A242" s="7" t="s">
        <v>1378</v>
      </c>
      <c r="B242" s="7">
        <v>579058026</v>
      </c>
      <c r="C242" s="7" t="s">
        <v>1444</v>
      </c>
      <c r="D242" s="7">
        <v>81000139827</v>
      </c>
      <c r="E242" s="7" t="s">
        <v>1443</v>
      </c>
      <c r="F242" s="2">
        <f>VLOOKUP(E242,'M10B Order'!B:G,6,FALSE)</f>
        <v>0</v>
      </c>
    </row>
    <row r="243" spans="1:6" x14ac:dyDescent="0.2">
      <c r="A243" s="7" t="s">
        <v>1378</v>
      </c>
      <c r="B243" s="7">
        <v>579058054</v>
      </c>
      <c r="C243" s="7" t="s">
        <v>1442</v>
      </c>
      <c r="D243" s="7">
        <v>81000139851</v>
      </c>
      <c r="E243" s="7" t="s">
        <v>1441</v>
      </c>
      <c r="F243" s="2">
        <f>VLOOKUP(E243,'M10B Order'!B:G,6,FALSE)</f>
        <v>0</v>
      </c>
    </row>
    <row r="244" spans="1:6" x14ac:dyDescent="0.2">
      <c r="A244" s="7" t="s">
        <v>1378</v>
      </c>
      <c r="B244" s="7">
        <v>579058111</v>
      </c>
      <c r="C244" s="7" t="s">
        <v>1432</v>
      </c>
      <c r="D244" s="7">
        <v>81000139793</v>
      </c>
      <c r="E244" s="7" t="s">
        <v>1431</v>
      </c>
      <c r="F244" s="2">
        <f>VLOOKUP(E244,'M10B Order'!B:G,6,FALSE)</f>
        <v>0</v>
      </c>
    </row>
    <row r="245" spans="1:6" x14ac:dyDescent="0.2">
      <c r="A245" s="7" t="s">
        <v>1378</v>
      </c>
      <c r="B245" s="7">
        <v>579058031</v>
      </c>
      <c r="C245" s="7" t="s">
        <v>1434</v>
      </c>
      <c r="D245" s="7">
        <v>81000139841</v>
      </c>
      <c r="E245" s="7" t="s">
        <v>1433</v>
      </c>
      <c r="F245" s="2">
        <f>VLOOKUP(E245,'M10B Order'!B:G,6,FALSE)</f>
        <v>0</v>
      </c>
    </row>
    <row r="246" spans="1:6" x14ac:dyDescent="0.2">
      <c r="A246" s="7" t="s">
        <v>1378</v>
      </c>
      <c r="B246" s="7">
        <v>579058156</v>
      </c>
      <c r="C246" s="7" t="s">
        <v>1436</v>
      </c>
      <c r="D246" s="7">
        <v>81000139829</v>
      </c>
      <c r="E246" s="7" t="s">
        <v>1435</v>
      </c>
      <c r="F246" s="2">
        <f>VLOOKUP(E246,'M10B Order'!B:G,6,FALSE)</f>
        <v>0</v>
      </c>
    </row>
    <row r="247" spans="1:6" x14ac:dyDescent="0.2">
      <c r="A247" s="7" t="s">
        <v>1378</v>
      </c>
      <c r="B247" s="7">
        <v>579058034</v>
      </c>
      <c r="C247" s="7" t="s">
        <v>1446</v>
      </c>
      <c r="D247" s="7">
        <v>81000139854</v>
      </c>
      <c r="E247" s="7" t="s">
        <v>1445</v>
      </c>
      <c r="F247" s="2">
        <f>VLOOKUP(E247,'M10B Order'!B:G,6,FALSE)</f>
        <v>0</v>
      </c>
    </row>
    <row r="248" spans="1:6" x14ac:dyDescent="0.2">
      <c r="A248" s="7" t="s">
        <v>1378</v>
      </c>
      <c r="B248" s="7">
        <v>579058025</v>
      </c>
      <c r="C248" s="7" t="s">
        <v>1448</v>
      </c>
      <c r="D248" s="7">
        <v>81000139828</v>
      </c>
      <c r="E248" s="7" t="s">
        <v>1447</v>
      </c>
      <c r="F248" s="2">
        <f>VLOOKUP(E248,'M10B Order'!B:G,6,FALSE)</f>
        <v>0</v>
      </c>
    </row>
    <row r="249" spans="1:6" x14ac:dyDescent="0.2">
      <c r="A249" s="7" t="s">
        <v>1378</v>
      </c>
      <c r="B249" s="7">
        <v>579058027</v>
      </c>
      <c r="C249" s="7" t="s">
        <v>1450</v>
      </c>
      <c r="D249" s="7">
        <v>81000139823</v>
      </c>
      <c r="E249" s="7" t="s">
        <v>1449</v>
      </c>
      <c r="F249" s="2">
        <f>VLOOKUP(E249,'M10B Order'!B:G,6,FALSE)</f>
        <v>0</v>
      </c>
    </row>
    <row r="250" spans="1:6" x14ac:dyDescent="0.2">
      <c r="A250" s="7" t="s">
        <v>1378</v>
      </c>
      <c r="B250" s="7">
        <v>579058055</v>
      </c>
      <c r="C250" s="7" t="s">
        <v>1454</v>
      </c>
      <c r="D250" s="7">
        <v>81000139797</v>
      </c>
      <c r="E250" s="7" t="s">
        <v>1453</v>
      </c>
      <c r="F250" s="2">
        <f>VLOOKUP(E250,'M10B Order'!B:G,6,FALSE)</f>
        <v>0</v>
      </c>
    </row>
    <row r="251" spans="1:6" x14ac:dyDescent="0.2">
      <c r="A251" s="7" t="s">
        <v>1378</v>
      </c>
      <c r="B251" s="7">
        <v>579058036</v>
      </c>
      <c r="C251" s="7" t="s">
        <v>1456</v>
      </c>
      <c r="D251" s="7">
        <v>81000139836</v>
      </c>
      <c r="E251" s="7" t="s">
        <v>1455</v>
      </c>
      <c r="F251" s="2">
        <f>VLOOKUP(E251,'M10B Order'!B:G,6,FALSE)</f>
        <v>0</v>
      </c>
    </row>
    <row r="252" spans="1:6" x14ac:dyDescent="0.2">
      <c r="A252" s="7" t="s">
        <v>1378</v>
      </c>
      <c r="B252" s="7">
        <v>579058030</v>
      </c>
      <c r="C252" s="7" t="s">
        <v>1458</v>
      </c>
      <c r="D252" s="7">
        <v>81000139847</v>
      </c>
      <c r="E252" s="7" t="s">
        <v>1457</v>
      </c>
      <c r="F252" s="2">
        <f>VLOOKUP(E252,'M10B Order'!B:G,6,FALSE)</f>
        <v>0</v>
      </c>
    </row>
    <row r="253" spans="1:6" x14ac:dyDescent="0.2">
      <c r="A253" s="7" t="s">
        <v>1378</v>
      </c>
      <c r="B253" s="7">
        <v>579058042</v>
      </c>
      <c r="C253" s="7" t="s">
        <v>1462</v>
      </c>
      <c r="D253" s="7">
        <v>81000139780</v>
      </c>
      <c r="E253" s="7" t="s">
        <v>1461</v>
      </c>
      <c r="F253" s="2">
        <f>VLOOKUP(E253,'M10B Order'!B:G,6,FALSE)</f>
        <v>0</v>
      </c>
    </row>
    <row r="254" spans="1:6" x14ac:dyDescent="0.2">
      <c r="A254" s="7" t="s">
        <v>1378</v>
      </c>
      <c r="B254" s="7">
        <v>579058037</v>
      </c>
      <c r="C254" s="7" t="s">
        <v>1464</v>
      </c>
      <c r="D254" s="7">
        <v>81000139798</v>
      </c>
      <c r="E254" s="7" t="s">
        <v>1463</v>
      </c>
      <c r="F254" s="2">
        <f>VLOOKUP(E254,'M10B Order'!B:G,6,FALSE)</f>
        <v>0</v>
      </c>
    </row>
    <row r="255" spans="1:6" x14ac:dyDescent="0.2">
      <c r="A255" s="7" t="s">
        <v>1378</v>
      </c>
      <c r="B255" s="7">
        <v>579058044</v>
      </c>
      <c r="C255" s="7" t="s">
        <v>1466</v>
      </c>
      <c r="D255" s="7">
        <v>81000139831</v>
      </c>
      <c r="E255" s="7" t="s">
        <v>1465</v>
      </c>
      <c r="F255" s="2">
        <f>VLOOKUP(E255,'M10B Order'!B:G,6,FALSE)</f>
        <v>0</v>
      </c>
    </row>
    <row r="256" spans="1:6" x14ac:dyDescent="0.2">
      <c r="A256" s="7" t="s">
        <v>1378</v>
      </c>
      <c r="B256" s="7">
        <v>579058007</v>
      </c>
      <c r="C256" s="7" t="s">
        <v>1470</v>
      </c>
      <c r="D256" s="7">
        <v>81000139830</v>
      </c>
      <c r="E256" s="7" t="s">
        <v>1469</v>
      </c>
      <c r="F256" s="2">
        <f>VLOOKUP(E256,'M10B Order'!B:G,6,FALSE)</f>
        <v>0</v>
      </c>
    </row>
    <row r="257" spans="1:6" x14ac:dyDescent="0.2">
      <c r="A257" s="7" t="s">
        <v>1378</v>
      </c>
      <c r="B257" s="7">
        <v>579058002</v>
      </c>
      <c r="C257" s="7" t="s">
        <v>1468</v>
      </c>
      <c r="D257" s="7">
        <v>81000139833</v>
      </c>
      <c r="E257" s="7" t="s">
        <v>1467</v>
      </c>
      <c r="F257" s="2">
        <f>VLOOKUP(E257,'M10B Order'!B:G,6,FALSE)</f>
        <v>0</v>
      </c>
    </row>
    <row r="258" spans="1:6" x14ac:dyDescent="0.2">
      <c r="A258" s="7" t="s">
        <v>410</v>
      </c>
      <c r="B258" s="7">
        <v>555033514</v>
      </c>
      <c r="C258" s="7" t="s">
        <v>412</v>
      </c>
      <c r="D258" s="7">
        <v>81446902336</v>
      </c>
      <c r="E258" s="7" t="s">
        <v>411</v>
      </c>
      <c r="F258" s="2">
        <f>VLOOKUP(E258,'M10B Order'!B:G,6,FALSE)</f>
        <v>0</v>
      </c>
    </row>
    <row r="259" spans="1:6" x14ac:dyDescent="0.2">
      <c r="A259" s="7" t="s">
        <v>410</v>
      </c>
      <c r="B259" s="7">
        <v>555032802</v>
      </c>
      <c r="C259" s="7" t="s">
        <v>414</v>
      </c>
      <c r="D259" s="7">
        <v>81446902337</v>
      </c>
      <c r="E259" s="7" t="s">
        <v>413</v>
      </c>
      <c r="F259" s="2">
        <f>VLOOKUP(E259,'M10B Order'!B:G,6,FALSE)</f>
        <v>0</v>
      </c>
    </row>
    <row r="260" spans="1:6" x14ac:dyDescent="0.2">
      <c r="A260" s="7" t="s">
        <v>410</v>
      </c>
      <c r="B260" s="7">
        <v>555032768</v>
      </c>
      <c r="C260" s="7" t="s">
        <v>416</v>
      </c>
      <c r="D260" s="7">
        <v>81446902339</v>
      </c>
      <c r="E260" s="7" t="s">
        <v>415</v>
      </c>
      <c r="F260" s="2">
        <f>VLOOKUP(E260,'M10B Order'!B:G,6,FALSE)</f>
        <v>0</v>
      </c>
    </row>
    <row r="261" spans="1:6" x14ac:dyDescent="0.2">
      <c r="A261" s="7" t="s">
        <v>410</v>
      </c>
      <c r="B261" s="7">
        <v>555032812</v>
      </c>
      <c r="C261" s="7" t="s">
        <v>418</v>
      </c>
      <c r="D261" s="7">
        <v>81446902340</v>
      </c>
      <c r="E261" s="7" t="s">
        <v>417</v>
      </c>
      <c r="F261" s="2">
        <f>VLOOKUP(E261,'M10B Order'!B:G,6,FALSE)</f>
        <v>0</v>
      </c>
    </row>
    <row r="262" spans="1:6" x14ac:dyDescent="0.2">
      <c r="A262" s="7" t="s">
        <v>410</v>
      </c>
      <c r="B262" s="7">
        <v>555032861</v>
      </c>
      <c r="C262" s="7" t="s">
        <v>420</v>
      </c>
      <c r="D262" s="7">
        <v>81446902341</v>
      </c>
      <c r="E262" s="7" t="s">
        <v>419</v>
      </c>
      <c r="F262" s="2">
        <f>VLOOKUP(E262,'M10B Order'!B:G,6,FALSE)</f>
        <v>0</v>
      </c>
    </row>
    <row r="263" spans="1:6" x14ac:dyDescent="0.2">
      <c r="A263" s="7" t="s">
        <v>410</v>
      </c>
      <c r="B263" s="7">
        <v>555048238</v>
      </c>
      <c r="C263" s="7" t="s">
        <v>422</v>
      </c>
      <c r="D263" s="7">
        <v>81446902342</v>
      </c>
      <c r="E263" s="7" t="s">
        <v>421</v>
      </c>
      <c r="F263" s="2">
        <f>VLOOKUP(E263,'M10B Order'!B:G,6,FALSE)</f>
        <v>0</v>
      </c>
    </row>
    <row r="264" spans="1:6" x14ac:dyDescent="0.2">
      <c r="A264" s="7" t="s">
        <v>405</v>
      </c>
      <c r="B264" s="7">
        <v>555032871</v>
      </c>
      <c r="C264" s="7" t="s">
        <v>407</v>
      </c>
      <c r="D264" s="7">
        <v>81446902344</v>
      </c>
      <c r="E264" s="7" t="s">
        <v>406</v>
      </c>
      <c r="F264" s="2">
        <f>VLOOKUP(E264,'M10B Order'!B:G,6,FALSE)</f>
        <v>0</v>
      </c>
    </row>
    <row r="265" spans="1:6" x14ac:dyDescent="0.2">
      <c r="A265" s="7" t="s">
        <v>405</v>
      </c>
      <c r="B265" s="7">
        <v>555048241</v>
      </c>
      <c r="C265" s="7" t="s">
        <v>409</v>
      </c>
      <c r="D265" s="7">
        <v>81446902345</v>
      </c>
      <c r="E265" s="7" t="s">
        <v>408</v>
      </c>
      <c r="F265" s="2">
        <f>VLOOKUP(E265,'M10B Order'!B:G,6,FALSE)</f>
        <v>0</v>
      </c>
    </row>
    <row r="266" spans="1:6" x14ac:dyDescent="0.2">
      <c r="A266" s="7" t="s">
        <v>844</v>
      </c>
      <c r="B266" s="7">
        <v>574387552</v>
      </c>
      <c r="C266" s="7" t="s">
        <v>846</v>
      </c>
      <c r="D266" s="7">
        <v>81000139266</v>
      </c>
      <c r="E266" s="7" t="s">
        <v>845</v>
      </c>
      <c r="F266" s="2">
        <f>VLOOKUP(E266,'M10B Order'!B:G,6,FALSE)</f>
        <v>0</v>
      </c>
    </row>
    <row r="267" spans="1:6" x14ac:dyDescent="0.2">
      <c r="A267" s="7" t="s">
        <v>1250</v>
      </c>
      <c r="B267" s="7">
        <v>579058085</v>
      </c>
      <c r="C267" s="7" t="s">
        <v>1252</v>
      </c>
      <c r="D267" s="7">
        <v>81004033023</v>
      </c>
      <c r="E267" s="7" t="s">
        <v>1251</v>
      </c>
      <c r="F267" s="2">
        <f>VLOOKUP(E267,'M10B Order'!B:G,6,FALSE)</f>
        <v>0</v>
      </c>
    </row>
    <row r="268" spans="1:6" x14ac:dyDescent="0.2">
      <c r="A268" s="7" t="s">
        <v>1250</v>
      </c>
      <c r="B268" s="7">
        <v>579058067</v>
      </c>
      <c r="C268" s="7" t="s">
        <v>1254</v>
      </c>
      <c r="D268" s="7">
        <v>81004033032</v>
      </c>
      <c r="E268" s="7" t="s">
        <v>1253</v>
      </c>
      <c r="F268" s="2">
        <f>VLOOKUP(E268,'M10B Order'!B:G,6,FALSE)</f>
        <v>0</v>
      </c>
    </row>
    <row r="269" spans="1:6" x14ac:dyDescent="0.2">
      <c r="A269" s="7" t="s">
        <v>1250</v>
      </c>
      <c r="B269" s="7">
        <v>579058089</v>
      </c>
      <c r="C269" s="7" t="s">
        <v>1256</v>
      </c>
      <c r="D269" s="7">
        <v>81004033009</v>
      </c>
      <c r="E269" s="7" t="s">
        <v>1255</v>
      </c>
      <c r="F269" s="2">
        <f>VLOOKUP(E269,'M10B Order'!B:G,6,FALSE)</f>
        <v>0</v>
      </c>
    </row>
    <row r="270" spans="1:6" x14ac:dyDescent="0.2">
      <c r="A270" s="7" t="s">
        <v>1250</v>
      </c>
      <c r="B270" s="7">
        <v>579058083</v>
      </c>
      <c r="C270" s="7" t="s">
        <v>1258</v>
      </c>
      <c r="D270" s="7">
        <v>81004033010</v>
      </c>
      <c r="E270" s="7" t="s">
        <v>1257</v>
      </c>
      <c r="F270" s="2">
        <f>VLOOKUP(E270,'M10B Order'!B:G,6,FALSE)</f>
        <v>0</v>
      </c>
    </row>
    <row r="271" spans="1:6" x14ac:dyDescent="0.2">
      <c r="A271" s="7" t="s">
        <v>1250</v>
      </c>
      <c r="B271" s="7">
        <v>579058058</v>
      </c>
      <c r="C271" s="7" t="s">
        <v>1260</v>
      </c>
      <c r="D271" s="7">
        <v>81004033001</v>
      </c>
      <c r="E271" s="7" t="s">
        <v>1259</v>
      </c>
      <c r="F271" s="2">
        <f>VLOOKUP(E271,'M10B Order'!B:G,6,FALSE)</f>
        <v>0</v>
      </c>
    </row>
    <row r="272" spans="1:6" x14ac:dyDescent="0.2">
      <c r="A272" s="7" t="s">
        <v>1250</v>
      </c>
      <c r="B272" s="7">
        <v>579057995</v>
      </c>
      <c r="C272" s="7" t="s">
        <v>1262</v>
      </c>
      <c r="D272" s="7">
        <v>81004033034</v>
      </c>
      <c r="E272" s="7" t="s">
        <v>1261</v>
      </c>
      <c r="F272" s="2">
        <f>VLOOKUP(E272,'M10B Order'!B:G,6,FALSE)</f>
        <v>0</v>
      </c>
    </row>
    <row r="273" spans="1:6" x14ac:dyDescent="0.2">
      <c r="A273" s="7" t="s">
        <v>1250</v>
      </c>
      <c r="B273" s="7">
        <v>579058091</v>
      </c>
      <c r="C273" s="7" t="s">
        <v>1264</v>
      </c>
      <c r="D273" s="7">
        <v>81004033033</v>
      </c>
      <c r="E273" s="7" t="s">
        <v>1263</v>
      </c>
      <c r="F273" s="2">
        <f>VLOOKUP(E273,'M10B Order'!B:G,6,FALSE)</f>
        <v>0</v>
      </c>
    </row>
    <row r="274" spans="1:6" x14ac:dyDescent="0.2">
      <c r="A274" s="7" t="s">
        <v>1250</v>
      </c>
      <c r="B274" s="7">
        <v>579058057</v>
      </c>
      <c r="C274" s="7" t="s">
        <v>1266</v>
      </c>
      <c r="D274" s="7">
        <v>81000139997</v>
      </c>
      <c r="E274" s="7" t="s">
        <v>1265</v>
      </c>
      <c r="F274" s="2">
        <f>VLOOKUP(E274,'M10B Order'!B:G,6,FALSE)</f>
        <v>0</v>
      </c>
    </row>
    <row r="275" spans="1:6" x14ac:dyDescent="0.2">
      <c r="A275" s="7" t="s">
        <v>1250</v>
      </c>
      <c r="B275" s="7">
        <v>579058117</v>
      </c>
      <c r="C275" s="7" t="s">
        <v>1268</v>
      </c>
      <c r="D275" s="7">
        <v>81004033006</v>
      </c>
      <c r="E275" s="7" t="s">
        <v>1267</v>
      </c>
      <c r="F275" s="2">
        <f>VLOOKUP(E275,'M10B Order'!B:G,6,FALSE)</f>
        <v>0</v>
      </c>
    </row>
    <row r="276" spans="1:6" x14ac:dyDescent="0.2">
      <c r="A276" s="7" t="s">
        <v>1250</v>
      </c>
      <c r="B276" s="7">
        <v>579058096</v>
      </c>
      <c r="C276" s="7" t="s">
        <v>1270</v>
      </c>
      <c r="D276" s="7">
        <v>81004033024</v>
      </c>
      <c r="E276" s="7" t="s">
        <v>1269</v>
      </c>
      <c r="F276" s="2">
        <f>VLOOKUP(E276,'M10B Order'!B:G,6,FALSE)</f>
        <v>0</v>
      </c>
    </row>
    <row r="277" spans="1:6" x14ac:dyDescent="0.2">
      <c r="A277" s="7" t="s">
        <v>1250</v>
      </c>
      <c r="B277" s="7">
        <v>579058107</v>
      </c>
      <c r="C277" s="7" t="s">
        <v>1272</v>
      </c>
      <c r="D277" s="7">
        <v>81004033031</v>
      </c>
      <c r="E277" s="7" t="s">
        <v>1271</v>
      </c>
      <c r="F277" s="2">
        <f>VLOOKUP(E277,'M10B Order'!B:G,6,FALSE)</f>
        <v>0</v>
      </c>
    </row>
    <row r="278" spans="1:6" x14ac:dyDescent="0.2">
      <c r="A278" s="7" t="s">
        <v>1250</v>
      </c>
      <c r="B278" s="7">
        <v>579058087</v>
      </c>
      <c r="C278" s="7" t="s">
        <v>1274</v>
      </c>
      <c r="D278" s="7">
        <v>81000139996</v>
      </c>
      <c r="E278" s="7" t="s">
        <v>1273</v>
      </c>
      <c r="F278" s="2">
        <f>VLOOKUP(E278,'M10B Order'!B:G,6,FALSE)</f>
        <v>0</v>
      </c>
    </row>
    <row r="279" spans="1:6" x14ac:dyDescent="0.2">
      <c r="A279" s="7" t="s">
        <v>1250</v>
      </c>
      <c r="B279" s="7">
        <v>579058130</v>
      </c>
      <c r="C279" s="7" t="s">
        <v>1276</v>
      </c>
      <c r="D279" s="7">
        <v>81004033029</v>
      </c>
      <c r="E279" s="7" t="s">
        <v>1275</v>
      </c>
      <c r="F279" s="2">
        <f>VLOOKUP(E279,'M10B Order'!B:G,6,FALSE)</f>
        <v>0</v>
      </c>
    </row>
    <row r="280" spans="1:6" x14ac:dyDescent="0.2">
      <c r="A280" s="7" t="s">
        <v>1250</v>
      </c>
      <c r="B280" s="7">
        <v>579058123</v>
      </c>
      <c r="C280" s="7" t="s">
        <v>1281</v>
      </c>
      <c r="D280" s="7">
        <v>81000139993</v>
      </c>
      <c r="E280" s="7" t="s">
        <v>1280</v>
      </c>
      <c r="F280" s="2">
        <f>VLOOKUP(E280,'M10B Order'!B:G,6,FALSE)</f>
        <v>0</v>
      </c>
    </row>
    <row r="281" spans="1:6" x14ac:dyDescent="0.2">
      <c r="A281" s="7" t="s">
        <v>1250</v>
      </c>
      <c r="B281" s="7">
        <v>579058132</v>
      </c>
      <c r="C281" s="7" t="s">
        <v>1283</v>
      </c>
      <c r="D281" s="7">
        <v>81004033005</v>
      </c>
      <c r="E281" s="7" t="s">
        <v>1282</v>
      </c>
      <c r="F281" s="2">
        <f>VLOOKUP(E281,'M10B Order'!B:G,6,FALSE)</f>
        <v>0</v>
      </c>
    </row>
    <row r="282" spans="1:6" x14ac:dyDescent="0.2">
      <c r="A282" s="7" t="s">
        <v>1250</v>
      </c>
      <c r="B282" s="7">
        <v>579058072</v>
      </c>
      <c r="C282" s="7" t="s">
        <v>1285</v>
      </c>
      <c r="D282" s="7">
        <v>81004033000</v>
      </c>
      <c r="E282" s="7" t="s">
        <v>1284</v>
      </c>
      <c r="F282" s="2">
        <f>VLOOKUP(E282,'M10B Order'!B:G,6,FALSE)</f>
        <v>0</v>
      </c>
    </row>
    <row r="283" spans="1:6" x14ac:dyDescent="0.2">
      <c r="A283" s="7" t="s">
        <v>1250</v>
      </c>
      <c r="B283" s="7">
        <v>579058124</v>
      </c>
      <c r="C283" s="7" t="s">
        <v>1287</v>
      </c>
      <c r="D283" s="7">
        <v>81000139995</v>
      </c>
      <c r="E283" s="7" t="s">
        <v>1286</v>
      </c>
      <c r="F283" s="2">
        <f>VLOOKUP(E283,'M10B Order'!B:G,6,FALSE)</f>
        <v>0</v>
      </c>
    </row>
    <row r="284" spans="1:6" x14ac:dyDescent="0.2">
      <c r="A284" s="7" t="s">
        <v>1250</v>
      </c>
      <c r="B284" s="7">
        <v>579058125</v>
      </c>
      <c r="C284" s="7" t="s">
        <v>1289</v>
      </c>
      <c r="D284" s="7">
        <v>81004033002</v>
      </c>
      <c r="E284" s="7" t="s">
        <v>1288</v>
      </c>
      <c r="F284" s="2">
        <f>VLOOKUP(E284,'M10B Order'!B:G,6,FALSE)</f>
        <v>0</v>
      </c>
    </row>
    <row r="285" spans="1:6" x14ac:dyDescent="0.2">
      <c r="A285" s="7" t="s">
        <v>1250</v>
      </c>
      <c r="B285" s="7">
        <v>579058146</v>
      </c>
      <c r="C285" s="7" t="s">
        <v>1291</v>
      </c>
      <c r="D285" s="7">
        <v>81004033003</v>
      </c>
      <c r="E285" s="7" t="s">
        <v>1290</v>
      </c>
      <c r="F285" s="2">
        <f>VLOOKUP(E285,'M10B Order'!B:G,6,FALSE)</f>
        <v>0</v>
      </c>
    </row>
    <row r="286" spans="1:6" x14ac:dyDescent="0.2">
      <c r="A286" s="7" t="s">
        <v>1250</v>
      </c>
      <c r="B286" s="7">
        <v>579058127</v>
      </c>
      <c r="C286" s="7" t="s">
        <v>1293</v>
      </c>
      <c r="D286" s="7">
        <v>81004033022</v>
      </c>
      <c r="E286" s="7" t="s">
        <v>1292</v>
      </c>
      <c r="F286" s="2">
        <f>VLOOKUP(E286,'M10B Order'!B:G,6,FALSE)</f>
        <v>0</v>
      </c>
    </row>
    <row r="287" spans="1:6" x14ac:dyDescent="0.2">
      <c r="A287" s="7" t="s">
        <v>1250</v>
      </c>
      <c r="B287" s="7">
        <v>579058126</v>
      </c>
      <c r="C287" s="7" t="s">
        <v>1295</v>
      </c>
      <c r="D287" s="7">
        <v>81004033020</v>
      </c>
      <c r="E287" s="7" t="s">
        <v>1294</v>
      </c>
      <c r="F287" s="2">
        <f>VLOOKUP(E287,'M10B Order'!B:G,6,FALSE)</f>
        <v>0</v>
      </c>
    </row>
    <row r="288" spans="1:6" x14ac:dyDescent="0.2">
      <c r="A288" s="7" t="s">
        <v>1250</v>
      </c>
      <c r="B288" s="7">
        <v>579058139</v>
      </c>
      <c r="C288" s="7" t="s">
        <v>1297</v>
      </c>
      <c r="D288" s="7">
        <v>81000139994</v>
      </c>
      <c r="E288" s="7" t="s">
        <v>1296</v>
      </c>
      <c r="F288" s="2">
        <f>VLOOKUP(E288,'M10B Order'!B:G,6,FALSE)</f>
        <v>0</v>
      </c>
    </row>
    <row r="289" spans="1:6" x14ac:dyDescent="0.2">
      <c r="A289" s="7" t="s">
        <v>1250</v>
      </c>
      <c r="B289" s="7">
        <v>579058131</v>
      </c>
      <c r="C289" s="7" t="s">
        <v>1299</v>
      </c>
      <c r="D289" s="7">
        <v>81004033021</v>
      </c>
      <c r="E289" s="7" t="s">
        <v>1298</v>
      </c>
      <c r="F289" s="2">
        <f>VLOOKUP(E289,'M10B Order'!B:G,6,FALSE)</f>
        <v>0</v>
      </c>
    </row>
    <row r="290" spans="1:6" x14ac:dyDescent="0.2">
      <c r="A290" s="7" t="s">
        <v>1250</v>
      </c>
      <c r="B290" s="7">
        <v>579058138</v>
      </c>
      <c r="C290" s="7" t="s">
        <v>1301</v>
      </c>
      <c r="D290" s="7">
        <v>81004033030</v>
      </c>
      <c r="E290" s="7" t="s">
        <v>1300</v>
      </c>
      <c r="F290" s="2">
        <f>VLOOKUP(E290,'M10B Order'!B:G,6,FALSE)</f>
        <v>0</v>
      </c>
    </row>
    <row r="291" spans="1:6" x14ac:dyDescent="0.2">
      <c r="A291" s="7" t="s">
        <v>1250</v>
      </c>
      <c r="B291" s="7">
        <v>579058145</v>
      </c>
      <c r="C291" s="7" t="s">
        <v>1303</v>
      </c>
      <c r="D291" s="7">
        <v>81004033008</v>
      </c>
      <c r="E291" s="7" t="s">
        <v>1302</v>
      </c>
      <c r="F291" s="2">
        <f>VLOOKUP(E291,'M10B Order'!B:G,6,FALSE)</f>
        <v>0</v>
      </c>
    </row>
    <row r="292" spans="1:6" x14ac:dyDescent="0.2">
      <c r="A292" s="7" t="s">
        <v>1250</v>
      </c>
      <c r="B292" s="7">
        <v>579058141</v>
      </c>
      <c r="C292" s="7" t="s">
        <v>1305</v>
      </c>
      <c r="D292" s="7">
        <v>81000139998</v>
      </c>
      <c r="E292" s="7" t="s">
        <v>1304</v>
      </c>
      <c r="F292" s="2">
        <f>VLOOKUP(E292,'M10B Order'!B:G,6,FALSE)</f>
        <v>0</v>
      </c>
    </row>
    <row r="293" spans="1:6" x14ac:dyDescent="0.2">
      <c r="A293" s="7" t="s">
        <v>1250</v>
      </c>
      <c r="B293" s="7">
        <v>579058154</v>
      </c>
      <c r="C293" s="7" t="s">
        <v>1307</v>
      </c>
      <c r="D293" s="7">
        <v>81000139999</v>
      </c>
      <c r="E293" s="7" t="s">
        <v>1306</v>
      </c>
      <c r="F293" s="2">
        <f>VLOOKUP(E293,'M10B Order'!B:G,6,FALSE)</f>
        <v>0</v>
      </c>
    </row>
    <row r="294" spans="1:6" x14ac:dyDescent="0.2">
      <c r="A294" s="7" t="s">
        <v>1250</v>
      </c>
      <c r="B294" s="7">
        <v>579058143</v>
      </c>
      <c r="C294" s="7" t="s">
        <v>1309</v>
      </c>
      <c r="D294" s="7">
        <v>81004033025</v>
      </c>
      <c r="E294" s="7" t="s">
        <v>1308</v>
      </c>
      <c r="F294" s="2">
        <f>VLOOKUP(E294,'M10B Order'!B:G,6,FALSE)</f>
        <v>0</v>
      </c>
    </row>
    <row r="295" spans="1:6" x14ac:dyDescent="0.2">
      <c r="A295" s="7" t="s">
        <v>1250</v>
      </c>
      <c r="B295" s="7">
        <v>579058153</v>
      </c>
      <c r="C295" s="7" t="s">
        <v>1311</v>
      </c>
      <c r="D295" s="7">
        <v>81004033007</v>
      </c>
      <c r="E295" s="7" t="s">
        <v>1310</v>
      </c>
      <c r="F295" s="2">
        <f>VLOOKUP(E295,'M10B Order'!B:G,6,FALSE)</f>
        <v>0</v>
      </c>
    </row>
    <row r="296" spans="1:6" x14ac:dyDescent="0.2">
      <c r="A296" s="7" t="s">
        <v>1250</v>
      </c>
      <c r="B296" s="7">
        <v>579058182</v>
      </c>
      <c r="C296" s="7" t="s">
        <v>1336</v>
      </c>
      <c r="D296" s="7">
        <v>81004033004</v>
      </c>
      <c r="E296" s="7" t="s">
        <v>1335</v>
      </c>
      <c r="F296" s="2">
        <f>VLOOKUP(E296,'M10B Order'!B:G,6,FALSE)</f>
        <v>0</v>
      </c>
    </row>
    <row r="297" spans="1:6" x14ac:dyDescent="0.2">
      <c r="A297" s="7" t="s">
        <v>1277</v>
      </c>
      <c r="B297" s="7">
        <v>579058142</v>
      </c>
      <c r="C297" s="7" t="s">
        <v>1313</v>
      </c>
      <c r="D297" s="7">
        <v>81004033014</v>
      </c>
      <c r="E297" s="7" t="s">
        <v>1312</v>
      </c>
      <c r="F297" s="2">
        <f>VLOOKUP(E297,'M10B Order'!B:G,6,FALSE)</f>
        <v>0</v>
      </c>
    </row>
    <row r="298" spans="1:6" x14ac:dyDescent="0.2">
      <c r="A298" s="7" t="s">
        <v>1277</v>
      </c>
      <c r="B298" s="7">
        <v>579058152</v>
      </c>
      <c r="C298" s="7" t="s">
        <v>1315</v>
      </c>
      <c r="D298" s="7">
        <v>81004033018</v>
      </c>
      <c r="E298" s="7" t="s">
        <v>1314</v>
      </c>
      <c r="F298" s="2">
        <f>VLOOKUP(E298,'M10B Order'!B:G,6,FALSE)</f>
        <v>0</v>
      </c>
    </row>
    <row r="299" spans="1:6" x14ac:dyDescent="0.2">
      <c r="A299" s="7" t="s">
        <v>1277</v>
      </c>
      <c r="B299" s="7">
        <v>579058128</v>
      </c>
      <c r="C299" s="7" t="s">
        <v>1320</v>
      </c>
      <c r="D299" s="7">
        <v>81004033015</v>
      </c>
      <c r="E299" s="7" t="s">
        <v>1319</v>
      </c>
      <c r="F299" s="2">
        <f>VLOOKUP(E299,'M10B Order'!B:G,6,FALSE)</f>
        <v>0</v>
      </c>
    </row>
    <row r="300" spans="1:6" x14ac:dyDescent="0.2">
      <c r="A300" s="7" t="s">
        <v>1277</v>
      </c>
      <c r="B300" s="7">
        <v>579058140</v>
      </c>
      <c r="C300" s="7" t="s">
        <v>1322</v>
      </c>
      <c r="D300" s="7">
        <v>81004033012</v>
      </c>
      <c r="E300" s="7" t="s">
        <v>1321</v>
      </c>
      <c r="F300" s="2">
        <f>VLOOKUP(E300,'M10B Order'!B:G,6,FALSE)</f>
        <v>0</v>
      </c>
    </row>
    <row r="301" spans="1:6" x14ac:dyDescent="0.2">
      <c r="A301" s="7" t="s">
        <v>1277</v>
      </c>
      <c r="B301" s="7">
        <v>579058149</v>
      </c>
      <c r="C301" s="7" t="s">
        <v>1324</v>
      </c>
      <c r="D301" s="7">
        <v>81004033017</v>
      </c>
      <c r="E301" s="7" t="s">
        <v>1323</v>
      </c>
      <c r="F301" s="2">
        <f>VLOOKUP(E301,'M10B Order'!B:G,6,FALSE)</f>
        <v>0</v>
      </c>
    </row>
    <row r="302" spans="1:6" x14ac:dyDescent="0.2">
      <c r="A302" s="7" t="s">
        <v>1277</v>
      </c>
      <c r="B302" s="7">
        <v>579058134</v>
      </c>
      <c r="C302" s="7" t="s">
        <v>1328</v>
      </c>
      <c r="D302" s="7">
        <v>81004033019</v>
      </c>
      <c r="E302" s="7" t="s">
        <v>1327</v>
      </c>
      <c r="F302" s="2">
        <f>VLOOKUP(E302,'M10B Order'!B:G,6,FALSE)</f>
        <v>0</v>
      </c>
    </row>
    <row r="303" spans="1:6" x14ac:dyDescent="0.2">
      <c r="A303" s="7" t="s">
        <v>1277</v>
      </c>
      <c r="B303" s="7">
        <v>579058180</v>
      </c>
      <c r="C303" s="7" t="s">
        <v>1332</v>
      </c>
      <c r="D303" s="7">
        <v>81004033013</v>
      </c>
      <c r="E303" s="7" t="s">
        <v>1331</v>
      </c>
      <c r="F303" s="2">
        <f>VLOOKUP(E303,'M10B Order'!B:G,6,FALSE)</f>
        <v>0</v>
      </c>
    </row>
    <row r="304" spans="1:6" x14ac:dyDescent="0.2">
      <c r="A304" s="7" t="s">
        <v>1277</v>
      </c>
      <c r="B304" s="7">
        <v>579058074</v>
      </c>
      <c r="C304" s="7" t="s">
        <v>1334</v>
      </c>
      <c r="D304" s="7">
        <v>81004033016</v>
      </c>
      <c r="E304" s="7" t="s">
        <v>1333</v>
      </c>
      <c r="F304" s="2">
        <f>VLOOKUP(E304,'M10B Order'!B:G,6,FALSE)</f>
        <v>0</v>
      </c>
    </row>
    <row r="305" spans="1:6" x14ac:dyDescent="0.2">
      <c r="A305" s="7" t="s">
        <v>1277</v>
      </c>
      <c r="B305" s="7">
        <v>579058129</v>
      </c>
      <c r="C305" s="7" t="s">
        <v>1279</v>
      </c>
      <c r="D305" s="7">
        <v>81004033011</v>
      </c>
      <c r="E305" s="7" t="s">
        <v>1278</v>
      </c>
      <c r="F305" s="2">
        <f>VLOOKUP(E305,'M10B Order'!B:G,6,FALSE)</f>
        <v>0</v>
      </c>
    </row>
    <row r="306" spans="1:6" x14ac:dyDescent="0.2">
      <c r="A306" s="7" t="s">
        <v>1316</v>
      </c>
      <c r="B306" s="7">
        <v>579058070</v>
      </c>
      <c r="C306" s="7" t="s">
        <v>1318</v>
      </c>
      <c r="D306" s="7">
        <v>81004033027</v>
      </c>
      <c r="E306" s="7" t="s">
        <v>1317</v>
      </c>
      <c r="F306" s="2">
        <f>VLOOKUP(E306,'M10B Order'!B:G,6,FALSE)</f>
        <v>0</v>
      </c>
    </row>
    <row r="307" spans="1:6" x14ac:dyDescent="0.2">
      <c r="A307" s="7" t="s">
        <v>1316</v>
      </c>
      <c r="B307" s="7">
        <v>579058133</v>
      </c>
      <c r="C307" s="7" t="s">
        <v>1326</v>
      </c>
      <c r="D307" s="7">
        <v>81004033026</v>
      </c>
      <c r="E307" s="7" t="s">
        <v>1325</v>
      </c>
      <c r="F307" s="2">
        <f>VLOOKUP(E307,'M10B Order'!B:G,6,FALSE)</f>
        <v>0</v>
      </c>
    </row>
    <row r="308" spans="1:6" x14ac:dyDescent="0.2">
      <c r="A308" s="7" t="s">
        <v>1316</v>
      </c>
      <c r="B308" s="7">
        <v>579058185</v>
      </c>
      <c r="C308" s="7" t="s">
        <v>1330</v>
      </c>
      <c r="D308" s="7">
        <v>81004033028</v>
      </c>
      <c r="E308" s="7" t="s">
        <v>1329</v>
      </c>
      <c r="F308" s="2">
        <f>VLOOKUP(E308,'M10B Order'!B:G,6,FALSE)</f>
        <v>0</v>
      </c>
    </row>
    <row r="309" spans="1:6" x14ac:dyDescent="0.2">
      <c r="A309" s="7" t="s">
        <v>1239</v>
      </c>
      <c r="B309" s="7">
        <v>579058093</v>
      </c>
      <c r="C309" s="7" t="s">
        <v>1350</v>
      </c>
      <c r="D309" s="7">
        <v>81004033052</v>
      </c>
      <c r="E309" s="7" t="s">
        <v>1349</v>
      </c>
      <c r="F309" s="2">
        <f>VLOOKUP(E309,'M10B Order'!B:G,6,FALSE)</f>
        <v>0</v>
      </c>
    </row>
    <row r="310" spans="1:6" x14ac:dyDescent="0.2">
      <c r="A310" s="7" t="s">
        <v>1239</v>
      </c>
      <c r="B310" s="7">
        <v>579058101</v>
      </c>
      <c r="C310" s="7" t="s">
        <v>1348</v>
      </c>
      <c r="D310" s="7">
        <v>81004033053</v>
      </c>
      <c r="E310" s="7" t="s">
        <v>1347</v>
      </c>
      <c r="F310" s="2">
        <f>VLOOKUP(E310,'M10B Order'!B:G,6,FALSE)</f>
        <v>0</v>
      </c>
    </row>
    <row r="311" spans="1:6" x14ac:dyDescent="0.2">
      <c r="A311" s="7" t="s">
        <v>1239</v>
      </c>
      <c r="B311" s="7">
        <v>579058050</v>
      </c>
      <c r="C311" s="7" t="s">
        <v>1346</v>
      </c>
      <c r="D311" s="7">
        <v>81004033051</v>
      </c>
      <c r="E311" s="7" t="s">
        <v>1345</v>
      </c>
      <c r="F311" s="2">
        <f>VLOOKUP(E311,'M10B Order'!B:G,6,FALSE)</f>
        <v>0</v>
      </c>
    </row>
    <row r="312" spans="1:6" x14ac:dyDescent="0.2">
      <c r="A312" s="7" t="s">
        <v>1239</v>
      </c>
      <c r="B312" s="7">
        <v>579058048</v>
      </c>
      <c r="C312" s="7" t="s">
        <v>1344</v>
      </c>
      <c r="D312" s="7">
        <v>81004033040</v>
      </c>
      <c r="E312" s="7" t="s">
        <v>1343</v>
      </c>
      <c r="F312" s="2">
        <f>VLOOKUP(E312,'M10B Order'!B:G,6,FALSE)</f>
        <v>0</v>
      </c>
    </row>
    <row r="313" spans="1:6" x14ac:dyDescent="0.2">
      <c r="A313" s="7" t="s">
        <v>1239</v>
      </c>
      <c r="B313" s="7">
        <v>579058105</v>
      </c>
      <c r="C313" s="7" t="s">
        <v>1342</v>
      </c>
      <c r="D313" s="7">
        <v>81004033038</v>
      </c>
      <c r="E313" s="7" t="s">
        <v>1341</v>
      </c>
      <c r="F313" s="2">
        <f>VLOOKUP(E313,'M10B Order'!B:G,6,FALSE)</f>
        <v>0</v>
      </c>
    </row>
    <row r="314" spans="1:6" x14ac:dyDescent="0.2">
      <c r="A314" s="7" t="s">
        <v>1239</v>
      </c>
      <c r="B314" s="7">
        <v>579058003</v>
      </c>
      <c r="C314" s="7" t="s">
        <v>1340</v>
      </c>
      <c r="D314" s="7">
        <v>81004033036</v>
      </c>
      <c r="E314" s="7" t="s">
        <v>1339</v>
      </c>
      <c r="F314" s="2">
        <f>VLOOKUP(E314,'M10B Order'!B:G,6,FALSE)</f>
        <v>0</v>
      </c>
    </row>
    <row r="315" spans="1:6" x14ac:dyDescent="0.2">
      <c r="A315" s="7" t="s">
        <v>1239</v>
      </c>
      <c r="B315" s="7">
        <v>579058119</v>
      </c>
      <c r="C315" s="7" t="s">
        <v>1338</v>
      </c>
      <c r="D315" s="7">
        <v>81004033037</v>
      </c>
      <c r="E315" s="7" t="s">
        <v>1337</v>
      </c>
      <c r="F315" s="2">
        <f>VLOOKUP(E315,'M10B Order'!B:G,6,FALSE)</f>
        <v>0</v>
      </c>
    </row>
    <row r="316" spans="1:6" x14ac:dyDescent="0.2">
      <c r="A316" s="7" t="s">
        <v>1239</v>
      </c>
      <c r="B316" s="7">
        <v>579058062</v>
      </c>
      <c r="C316" s="7" t="s">
        <v>1249</v>
      </c>
      <c r="D316" s="7">
        <v>81004033049</v>
      </c>
      <c r="E316" s="7" t="s">
        <v>1248</v>
      </c>
      <c r="F316" s="2">
        <f>VLOOKUP(E316,'M10B Order'!B:G,6,FALSE)</f>
        <v>0</v>
      </c>
    </row>
    <row r="317" spans="1:6" x14ac:dyDescent="0.2">
      <c r="A317" s="7" t="s">
        <v>1239</v>
      </c>
      <c r="B317" s="7">
        <v>579058080</v>
      </c>
      <c r="C317" s="7" t="s">
        <v>1247</v>
      </c>
      <c r="D317" s="7">
        <v>81004033055</v>
      </c>
      <c r="E317" s="7" t="s">
        <v>1246</v>
      </c>
      <c r="F317" s="2">
        <f>VLOOKUP(E317,'M10B Order'!B:G,6,FALSE)</f>
        <v>0</v>
      </c>
    </row>
    <row r="318" spans="1:6" x14ac:dyDescent="0.2">
      <c r="A318" s="7" t="s">
        <v>1239</v>
      </c>
      <c r="B318" s="7">
        <v>579058060</v>
      </c>
      <c r="C318" s="7" t="s">
        <v>1245</v>
      </c>
      <c r="D318" s="7">
        <v>81004033057</v>
      </c>
      <c r="E318" s="7" t="s">
        <v>1244</v>
      </c>
      <c r="F318" s="2">
        <f>VLOOKUP(E318,'M10B Order'!B:G,6,FALSE)</f>
        <v>0</v>
      </c>
    </row>
    <row r="319" spans="1:6" x14ac:dyDescent="0.2">
      <c r="A319" s="7" t="s">
        <v>1239</v>
      </c>
      <c r="B319" s="7">
        <v>579057994</v>
      </c>
      <c r="C319" s="7" t="s">
        <v>1243</v>
      </c>
      <c r="D319" s="7">
        <v>81004033054</v>
      </c>
      <c r="E319" s="7" t="s">
        <v>1242</v>
      </c>
      <c r="F319" s="2">
        <f>VLOOKUP(E319,'M10B Order'!B:G,6,FALSE)</f>
        <v>0</v>
      </c>
    </row>
    <row r="320" spans="1:6" x14ac:dyDescent="0.2">
      <c r="A320" s="7" t="s">
        <v>1239</v>
      </c>
      <c r="B320" s="7">
        <v>579058056</v>
      </c>
      <c r="C320" s="7" t="s">
        <v>1241</v>
      </c>
      <c r="D320" s="7">
        <v>81004033046</v>
      </c>
      <c r="E320" s="7" t="s">
        <v>1240</v>
      </c>
      <c r="F320" s="2">
        <f>VLOOKUP(E320,'M10B Order'!B:G,6,FALSE)</f>
        <v>0</v>
      </c>
    </row>
    <row r="321" spans="1:6" x14ac:dyDescent="0.2">
      <c r="A321" s="7" t="s">
        <v>1351</v>
      </c>
      <c r="B321" s="7">
        <v>579058010</v>
      </c>
      <c r="C321" s="7" t="s">
        <v>1363</v>
      </c>
      <c r="D321" s="7">
        <v>81004033035</v>
      </c>
      <c r="E321" s="7" t="s">
        <v>1362</v>
      </c>
      <c r="F321" s="2">
        <f>VLOOKUP(E321,'M10B Order'!B:G,6,FALSE)</f>
        <v>0</v>
      </c>
    </row>
    <row r="322" spans="1:6" x14ac:dyDescent="0.2">
      <c r="A322" s="7" t="s">
        <v>1351</v>
      </c>
      <c r="B322" s="7">
        <v>579057992</v>
      </c>
      <c r="C322" s="7" t="s">
        <v>1353</v>
      </c>
      <c r="D322" s="7">
        <v>81004033045</v>
      </c>
      <c r="E322" s="7" t="s">
        <v>1352</v>
      </c>
      <c r="F322" s="2">
        <f>VLOOKUP(E322,'M10B Order'!B:G,6,FALSE)</f>
        <v>0</v>
      </c>
    </row>
    <row r="323" spans="1:6" x14ac:dyDescent="0.2">
      <c r="A323" s="7" t="s">
        <v>1351</v>
      </c>
      <c r="B323" s="7">
        <v>579058004</v>
      </c>
      <c r="C323" s="7" t="s">
        <v>1355</v>
      </c>
      <c r="D323" s="7">
        <v>81004033056</v>
      </c>
      <c r="E323" s="7" t="s">
        <v>1354</v>
      </c>
      <c r="F323" s="2">
        <f>VLOOKUP(E323,'M10B Order'!B:G,6,FALSE)</f>
        <v>0</v>
      </c>
    </row>
    <row r="324" spans="1:6" x14ac:dyDescent="0.2">
      <c r="A324" s="7" t="s">
        <v>1351</v>
      </c>
      <c r="B324" s="7">
        <v>579058051</v>
      </c>
      <c r="C324" s="7" t="s">
        <v>1357</v>
      </c>
      <c r="D324" s="7">
        <v>81004033048</v>
      </c>
      <c r="E324" s="7" t="s">
        <v>1356</v>
      </c>
      <c r="F324" s="2">
        <f>VLOOKUP(E324,'M10B Order'!B:G,6,FALSE)</f>
        <v>0</v>
      </c>
    </row>
    <row r="325" spans="1:6" x14ac:dyDescent="0.2">
      <c r="A325" s="7" t="s">
        <v>1351</v>
      </c>
      <c r="B325" s="7">
        <v>579058158</v>
      </c>
      <c r="C325" s="7" t="s">
        <v>1359</v>
      </c>
      <c r="D325" s="7">
        <v>81004033058</v>
      </c>
      <c r="E325" s="7" t="s">
        <v>1358</v>
      </c>
      <c r="F325" s="2">
        <f>VLOOKUP(E325,'M10B Order'!B:G,6,FALSE)</f>
        <v>0</v>
      </c>
    </row>
    <row r="326" spans="1:6" x14ac:dyDescent="0.2">
      <c r="A326" s="7" t="s">
        <v>1351</v>
      </c>
      <c r="B326" s="7">
        <v>579057990</v>
      </c>
      <c r="C326" s="7" t="s">
        <v>1361</v>
      </c>
      <c r="D326" s="7">
        <v>81004033044</v>
      </c>
      <c r="E326" s="7" t="s">
        <v>1360</v>
      </c>
      <c r="F326" s="2">
        <f>VLOOKUP(E326,'M10B Order'!B:G,6,FALSE)</f>
        <v>0</v>
      </c>
    </row>
    <row r="327" spans="1:6" x14ac:dyDescent="0.2">
      <c r="A327" s="7" t="s">
        <v>1351</v>
      </c>
      <c r="B327" s="7">
        <v>579058052</v>
      </c>
      <c r="C327" s="7" t="s">
        <v>1365</v>
      </c>
      <c r="D327" s="7">
        <v>81004033039</v>
      </c>
      <c r="E327" s="7" t="s">
        <v>1364</v>
      </c>
      <c r="F327" s="2">
        <f>VLOOKUP(E327,'M10B Order'!B:G,6,FALSE)</f>
        <v>0</v>
      </c>
    </row>
    <row r="328" spans="1:6" x14ac:dyDescent="0.2">
      <c r="A328" s="7" t="s">
        <v>1351</v>
      </c>
      <c r="B328" s="7">
        <v>579058023</v>
      </c>
      <c r="C328" s="7" t="s">
        <v>1367</v>
      </c>
      <c r="D328" s="7">
        <v>81004033047</v>
      </c>
      <c r="E328" s="7" t="s">
        <v>1366</v>
      </c>
      <c r="F328" s="2">
        <f>VLOOKUP(E328,'M10B Order'!B:G,6,FALSE)</f>
        <v>0</v>
      </c>
    </row>
    <row r="329" spans="1:6" x14ac:dyDescent="0.2">
      <c r="A329" s="7" t="s">
        <v>1351</v>
      </c>
      <c r="B329" s="7">
        <v>579057991</v>
      </c>
      <c r="C329" s="7" t="s">
        <v>1369</v>
      </c>
      <c r="D329" s="7">
        <v>81004033042</v>
      </c>
      <c r="E329" s="7" t="s">
        <v>1368</v>
      </c>
      <c r="F329" s="2">
        <f>VLOOKUP(E329,'M10B Order'!B:G,6,FALSE)</f>
        <v>0</v>
      </c>
    </row>
    <row r="330" spans="1:6" x14ac:dyDescent="0.2">
      <c r="A330" s="7" t="s">
        <v>1351</v>
      </c>
      <c r="B330" s="7">
        <v>579058053</v>
      </c>
      <c r="C330" s="7" t="s">
        <v>1371</v>
      </c>
      <c r="D330" s="7">
        <v>81004033041</v>
      </c>
      <c r="E330" s="7" t="s">
        <v>1370</v>
      </c>
      <c r="F330" s="2">
        <f>VLOOKUP(E330,'M10B Order'!B:G,6,FALSE)</f>
        <v>0</v>
      </c>
    </row>
    <row r="331" spans="1:6" x14ac:dyDescent="0.2">
      <c r="A331" s="7" t="s">
        <v>1351</v>
      </c>
      <c r="B331" s="7">
        <v>579058005</v>
      </c>
      <c r="C331" s="7" t="s">
        <v>1373</v>
      </c>
      <c r="D331" s="7">
        <v>81004033050</v>
      </c>
      <c r="E331" s="7" t="s">
        <v>1372</v>
      </c>
      <c r="F331" s="2">
        <f>VLOOKUP(E331,'M10B Order'!B:G,6,FALSE)</f>
        <v>0</v>
      </c>
    </row>
    <row r="332" spans="1:6" x14ac:dyDescent="0.2">
      <c r="A332" s="7" t="s">
        <v>1351</v>
      </c>
      <c r="B332" s="7">
        <v>579058046</v>
      </c>
      <c r="C332" s="7" t="s">
        <v>1375</v>
      </c>
      <c r="D332" s="7">
        <v>81004033059</v>
      </c>
      <c r="E332" s="7" t="s">
        <v>1374</v>
      </c>
      <c r="F332" s="2">
        <f>VLOOKUP(E332,'M10B Order'!B:G,6,FALSE)</f>
        <v>0</v>
      </c>
    </row>
    <row r="333" spans="1:6" x14ac:dyDescent="0.2">
      <c r="A333" s="7" t="s">
        <v>1351</v>
      </c>
      <c r="B333" s="7">
        <v>579058013</v>
      </c>
      <c r="C333" s="7" t="s">
        <v>1377</v>
      </c>
      <c r="D333" s="7">
        <v>81004033043</v>
      </c>
      <c r="E333" s="7" t="s">
        <v>1376</v>
      </c>
      <c r="F333" s="2">
        <f>VLOOKUP(E333,'M10B Order'!B:G,6,FALSE)</f>
        <v>0</v>
      </c>
    </row>
    <row r="334" spans="1:6" x14ac:dyDescent="0.2">
      <c r="A334" s="7" t="s">
        <v>827</v>
      </c>
      <c r="B334" s="7">
        <v>573626520</v>
      </c>
      <c r="C334" s="7" t="s">
        <v>843</v>
      </c>
      <c r="D334" s="7">
        <v>81000139170</v>
      </c>
      <c r="E334" s="7" t="s">
        <v>842</v>
      </c>
      <c r="F334" s="2">
        <f>VLOOKUP(E334,'M10B Order'!B:G,6,FALSE)</f>
        <v>0</v>
      </c>
    </row>
    <row r="335" spans="1:6" x14ac:dyDescent="0.2">
      <c r="A335" s="7" t="s">
        <v>827</v>
      </c>
      <c r="B335" s="7">
        <v>573626496</v>
      </c>
      <c r="C335" s="7" t="s">
        <v>841</v>
      </c>
      <c r="D335" s="7">
        <v>81000139171</v>
      </c>
      <c r="E335" s="7" t="s">
        <v>840</v>
      </c>
      <c r="F335" s="2">
        <f>VLOOKUP(E335,'M10B Order'!B:G,6,FALSE)</f>
        <v>0</v>
      </c>
    </row>
    <row r="336" spans="1:6" x14ac:dyDescent="0.2">
      <c r="A336" s="7" t="s">
        <v>827</v>
      </c>
      <c r="B336" s="7">
        <v>573626547</v>
      </c>
      <c r="C336" s="7" t="s">
        <v>839</v>
      </c>
      <c r="D336" s="7">
        <v>81000139172</v>
      </c>
      <c r="E336" s="7" t="s">
        <v>838</v>
      </c>
      <c r="F336" s="2">
        <f>VLOOKUP(E336,'M10B Order'!B:G,6,FALSE)</f>
        <v>0</v>
      </c>
    </row>
    <row r="337" spans="1:6" x14ac:dyDescent="0.2">
      <c r="A337" s="7" t="s">
        <v>827</v>
      </c>
      <c r="B337" s="7">
        <v>573626551</v>
      </c>
      <c r="C337" s="7" t="s">
        <v>837</v>
      </c>
      <c r="D337" s="7">
        <v>81000139173</v>
      </c>
      <c r="E337" s="7" t="s">
        <v>836</v>
      </c>
      <c r="F337" s="2">
        <f>VLOOKUP(E337,'M10B Order'!B:G,6,FALSE)</f>
        <v>0</v>
      </c>
    </row>
    <row r="338" spans="1:6" x14ac:dyDescent="0.2">
      <c r="A338" s="7" t="s">
        <v>827</v>
      </c>
      <c r="B338" s="7">
        <v>573626487</v>
      </c>
      <c r="C338" s="7" t="s">
        <v>835</v>
      </c>
      <c r="D338" s="7">
        <v>81000139174</v>
      </c>
      <c r="E338" s="7" t="s">
        <v>834</v>
      </c>
      <c r="F338" s="2">
        <f>VLOOKUP(E338,'M10B Order'!B:G,6,FALSE)</f>
        <v>0</v>
      </c>
    </row>
    <row r="339" spans="1:6" x14ac:dyDescent="0.2">
      <c r="A339" s="7" t="s">
        <v>827</v>
      </c>
      <c r="B339" s="7">
        <v>573626498</v>
      </c>
      <c r="C339" s="7" t="s">
        <v>833</v>
      </c>
      <c r="D339" s="7">
        <v>81000139175</v>
      </c>
      <c r="E339" s="7" t="s">
        <v>832</v>
      </c>
      <c r="F339" s="2">
        <f>VLOOKUP(E339,'M10B Order'!B:G,6,FALSE)</f>
        <v>0</v>
      </c>
    </row>
    <row r="340" spans="1:6" x14ac:dyDescent="0.2">
      <c r="A340" s="7" t="s">
        <v>827</v>
      </c>
      <c r="B340" s="7">
        <v>573626522</v>
      </c>
      <c r="C340" s="7" t="s">
        <v>831</v>
      </c>
      <c r="D340" s="7">
        <v>81000139176</v>
      </c>
      <c r="E340" s="7" t="s">
        <v>830</v>
      </c>
      <c r="F340" s="2">
        <f>VLOOKUP(E340,'M10B Order'!B:G,6,FALSE)</f>
        <v>0</v>
      </c>
    </row>
    <row r="341" spans="1:6" x14ac:dyDescent="0.2">
      <c r="A341" s="7" t="s">
        <v>827</v>
      </c>
      <c r="B341" s="7">
        <v>573626597</v>
      </c>
      <c r="C341" s="7" t="s">
        <v>829</v>
      </c>
      <c r="D341" s="7">
        <v>81000139177</v>
      </c>
      <c r="E341" s="7" t="s">
        <v>828</v>
      </c>
      <c r="F341" s="2">
        <f>VLOOKUP(E341,'M10B Order'!B:G,6,FALSE)</f>
        <v>0</v>
      </c>
    </row>
    <row r="342" spans="1:6" x14ac:dyDescent="0.2">
      <c r="A342" s="7" t="s">
        <v>792</v>
      </c>
      <c r="B342" s="7">
        <v>573626642</v>
      </c>
      <c r="C342" s="7" t="s">
        <v>826</v>
      </c>
      <c r="D342" s="7">
        <v>81000139150</v>
      </c>
      <c r="E342" s="7" t="s">
        <v>825</v>
      </c>
      <c r="F342" s="2">
        <f>VLOOKUP(E342,'M10B Order'!B:G,6,FALSE)</f>
        <v>0</v>
      </c>
    </row>
    <row r="343" spans="1:6" x14ac:dyDescent="0.2">
      <c r="A343" s="7" t="s">
        <v>792</v>
      </c>
      <c r="B343" s="7">
        <v>573626595</v>
      </c>
      <c r="C343" s="7" t="s">
        <v>824</v>
      </c>
      <c r="D343" s="7">
        <v>81000139152</v>
      </c>
      <c r="E343" s="7" t="s">
        <v>823</v>
      </c>
      <c r="F343" s="2">
        <f>VLOOKUP(E343,'M10B Order'!B:G,6,FALSE)</f>
        <v>0</v>
      </c>
    </row>
    <row r="344" spans="1:6" x14ac:dyDescent="0.2">
      <c r="A344" s="7" t="s">
        <v>792</v>
      </c>
      <c r="B344" s="7">
        <v>573626583</v>
      </c>
      <c r="C344" s="7" t="s">
        <v>822</v>
      </c>
      <c r="D344" s="7">
        <v>81000139154</v>
      </c>
      <c r="E344" s="7" t="s">
        <v>821</v>
      </c>
      <c r="F344" s="2">
        <f>VLOOKUP(E344,'M10B Order'!B:G,6,FALSE)</f>
        <v>0</v>
      </c>
    </row>
    <row r="345" spans="1:6" x14ac:dyDescent="0.2">
      <c r="A345" s="7" t="s">
        <v>792</v>
      </c>
      <c r="B345" s="7">
        <v>573626587</v>
      </c>
      <c r="C345" s="7" t="s">
        <v>820</v>
      </c>
      <c r="D345" s="7">
        <v>81000139163</v>
      </c>
      <c r="E345" s="7" t="s">
        <v>819</v>
      </c>
      <c r="F345" s="2">
        <f>VLOOKUP(E345,'M10B Order'!B:G,6,FALSE)</f>
        <v>0</v>
      </c>
    </row>
    <row r="346" spans="1:6" x14ac:dyDescent="0.2">
      <c r="A346" s="7" t="s">
        <v>792</v>
      </c>
      <c r="B346" s="7">
        <v>573626593</v>
      </c>
      <c r="C346" s="7" t="s">
        <v>818</v>
      </c>
      <c r="D346" s="7">
        <v>81000139156</v>
      </c>
      <c r="E346" s="7" t="s">
        <v>817</v>
      </c>
      <c r="F346" s="2">
        <f>VLOOKUP(E346,'M10B Order'!B:G,6,FALSE)</f>
        <v>0</v>
      </c>
    </row>
    <row r="347" spans="1:6" x14ac:dyDescent="0.2">
      <c r="A347" s="7" t="s">
        <v>792</v>
      </c>
      <c r="B347" s="7">
        <v>573626607</v>
      </c>
      <c r="C347" s="7" t="s">
        <v>814</v>
      </c>
      <c r="D347" s="7">
        <v>81000139155</v>
      </c>
      <c r="E347" s="7" t="s">
        <v>813</v>
      </c>
      <c r="F347" s="2">
        <f>VLOOKUP(E347,'M10B Order'!B:G,6,FALSE)</f>
        <v>0</v>
      </c>
    </row>
    <row r="348" spans="1:6" x14ac:dyDescent="0.2">
      <c r="A348" s="7" t="s">
        <v>792</v>
      </c>
      <c r="B348" s="7">
        <v>573626649</v>
      </c>
      <c r="C348" s="7" t="s">
        <v>812</v>
      </c>
      <c r="D348" s="7">
        <v>81000139153</v>
      </c>
      <c r="E348" s="7" t="s">
        <v>811</v>
      </c>
      <c r="F348" s="2">
        <f>VLOOKUP(E348,'M10B Order'!B:G,6,FALSE)</f>
        <v>0</v>
      </c>
    </row>
    <row r="349" spans="1:6" x14ac:dyDescent="0.2">
      <c r="A349" s="7" t="s">
        <v>792</v>
      </c>
      <c r="B349" s="7">
        <v>573626662</v>
      </c>
      <c r="C349" s="7" t="s">
        <v>810</v>
      </c>
      <c r="D349" s="7">
        <v>81000139167</v>
      </c>
      <c r="E349" s="7" t="s">
        <v>809</v>
      </c>
      <c r="F349" s="2">
        <f>VLOOKUP(E349,'M10B Order'!B:G,6,FALSE)</f>
        <v>0</v>
      </c>
    </row>
    <row r="350" spans="1:6" x14ac:dyDescent="0.2">
      <c r="A350" s="7" t="s">
        <v>792</v>
      </c>
      <c r="B350" s="7">
        <v>573626668</v>
      </c>
      <c r="C350" s="7" t="s">
        <v>808</v>
      </c>
      <c r="D350" s="7">
        <v>81000139164</v>
      </c>
      <c r="E350" s="7" t="s">
        <v>807</v>
      </c>
      <c r="F350" s="2">
        <f>VLOOKUP(E350,'M10B Order'!B:G,6,FALSE)</f>
        <v>0</v>
      </c>
    </row>
    <row r="351" spans="1:6" x14ac:dyDescent="0.2">
      <c r="A351" s="7" t="s">
        <v>792</v>
      </c>
      <c r="B351" s="7">
        <v>573626660</v>
      </c>
      <c r="C351" s="7" t="s">
        <v>806</v>
      </c>
      <c r="D351" s="7">
        <v>81000139148</v>
      </c>
      <c r="E351" s="7" t="s">
        <v>805</v>
      </c>
      <c r="F351" s="2">
        <f>VLOOKUP(E351,'M10B Order'!B:G,6,FALSE)</f>
        <v>0</v>
      </c>
    </row>
    <row r="352" spans="1:6" x14ac:dyDescent="0.2">
      <c r="A352" s="7" t="s">
        <v>792</v>
      </c>
      <c r="B352" s="7">
        <v>573626664</v>
      </c>
      <c r="C352" s="7" t="s">
        <v>804</v>
      </c>
      <c r="D352" s="7">
        <v>81000139149</v>
      </c>
      <c r="E352" s="7" t="s">
        <v>803</v>
      </c>
      <c r="F352" s="2">
        <f>VLOOKUP(E352,'M10B Order'!B:G,6,FALSE)</f>
        <v>0</v>
      </c>
    </row>
    <row r="353" spans="1:6" x14ac:dyDescent="0.2">
      <c r="A353" s="7" t="s">
        <v>792</v>
      </c>
      <c r="B353" s="7">
        <v>573626669</v>
      </c>
      <c r="C353" s="7" t="s">
        <v>802</v>
      </c>
      <c r="D353" s="7">
        <v>81000139168</v>
      </c>
      <c r="E353" s="7" t="s">
        <v>801</v>
      </c>
      <c r="F353" s="2">
        <f>VLOOKUP(E353,'M10B Order'!B:G,6,FALSE)</f>
        <v>0</v>
      </c>
    </row>
    <row r="354" spans="1:6" x14ac:dyDescent="0.2">
      <c r="A354" s="7" t="s">
        <v>792</v>
      </c>
      <c r="B354" s="7">
        <v>573626658</v>
      </c>
      <c r="C354" s="7" t="s">
        <v>800</v>
      </c>
      <c r="D354" s="7">
        <v>81000139151</v>
      </c>
      <c r="E354" s="7" t="s">
        <v>799</v>
      </c>
      <c r="F354" s="2">
        <f>VLOOKUP(E354,'M10B Order'!B:G,6,FALSE)</f>
        <v>0</v>
      </c>
    </row>
    <row r="355" spans="1:6" x14ac:dyDescent="0.2">
      <c r="A355" s="7" t="s">
        <v>792</v>
      </c>
      <c r="B355" s="7">
        <v>573626698</v>
      </c>
      <c r="C355" s="7" t="s">
        <v>798</v>
      </c>
      <c r="D355" s="7">
        <v>81000139162</v>
      </c>
      <c r="E355" s="7" t="s">
        <v>797</v>
      </c>
      <c r="F355" s="2">
        <f>VLOOKUP(E355,'M10B Order'!B:G,6,FALSE)</f>
        <v>0</v>
      </c>
    </row>
    <row r="356" spans="1:6" x14ac:dyDescent="0.2">
      <c r="A356" s="7" t="s">
        <v>792</v>
      </c>
      <c r="B356" s="7">
        <v>573626677</v>
      </c>
      <c r="C356" s="7" t="s">
        <v>796</v>
      </c>
      <c r="D356" s="7">
        <v>81000139166</v>
      </c>
      <c r="E356" s="7" t="s">
        <v>795</v>
      </c>
      <c r="F356" s="2">
        <f>VLOOKUP(E356,'M10B Order'!B:G,6,FALSE)</f>
        <v>0</v>
      </c>
    </row>
    <row r="357" spans="1:6" x14ac:dyDescent="0.2">
      <c r="A357" s="7" t="s">
        <v>792</v>
      </c>
      <c r="B357" s="7">
        <v>573626604</v>
      </c>
      <c r="C357" s="7" t="s">
        <v>794</v>
      </c>
      <c r="D357" s="7">
        <v>81000139169</v>
      </c>
      <c r="E357" s="7" t="s">
        <v>793</v>
      </c>
      <c r="F357" s="2">
        <f>VLOOKUP(E357,'M10B Order'!B:G,6,FALSE)</f>
        <v>0</v>
      </c>
    </row>
    <row r="358" spans="1:6" x14ac:dyDescent="0.2">
      <c r="A358" s="7" t="s">
        <v>362</v>
      </c>
      <c r="B358" s="7">
        <v>554737809</v>
      </c>
      <c r="C358" s="7" t="s">
        <v>291</v>
      </c>
      <c r="D358" s="7">
        <v>81109801092</v>
      </c>
      <c r="E358" s="7" t="s">
        <v>292</v>
      </c>
      <c r="F358" s="2">
        <f>VLOOKUP(E358,'M10B Order'!B:G,6,FALSE)</f>
        <v>0</v>
      </c>
    </row>
    <row r="359" spans="1:6" x14ac:dyDescent="0.2">
      <c r="A359" s="7" t="s">
        <v>362</v>
      </c>
      <c r="B359" s="7">
        <v>554737826</v>
      </c>
      <c r="C359" s="7" t="s">
        <v>193</v>
      </c>
      <c r="D359" s="7">
        <v>81109801097</v>
      </c>
      <c r="E359" s="7" t="s">
        <v>194</v>
      </c>
      <c r="F359" s="2">
        <f>VLOOKUP(E359,'M10B Order'!B:G,6,FALSE)</f>
        <v>0</v>
      </c>
    </row>
    <row r="360" spans="1:6" x14ac:dyDescent="0.2">
      <c r="A360" s="7" t="s">
        <v>362</v>
      </c>
      <c r="B360" s="7">
        <v>554737862</v>
      </c>
      <c r="C360" s="7" t="s">
        <v>40</v>
      </c>
      <c r="D360" s="7">
        <v>81109801291</v>
      </c>
      <c r="E360" s="7" t="s">
        <v>41</v>
      </c>
      <c r="F360" s="2">
        <f>VLOOKUP(E360,'M10B Order'!B:G,6,FALSE)</f>
        <v>0</v>
      </c>
    </row>
    <row r="361" spans="1:6" x14ac:dyDescent="0.2">
      <c r="A361" s="7" t="s">
        <v>362</v>
      </c>
      <c r="B361" s="7">
        <v>554737868</v>
      </c>
      <c r="C361" s="7" t="s">
        <v>313</v>
      </c>
      <c r="D361" s="7">
        <v>81109801093</v>
      </c>
      <c r="E361" s="7" t="s">
        <v>314</v>
      </c>
      <c r="F361" s="2">
        <f>VLOOKUP(E361,'M10B Order'!B:G,6,FALSE)</f>
        <v>0</v>
      </c>
    </row>
    <row r="362" spans="1:6" x14ac:dyDescent="0.2">
      <c r="A362" s="7" t="s">
        <v>362</v>
      </c>
      <c r="B362" s="7">
        <v>554737893</v>
      </c>
      <c r="C362" s="7" t="s">
        <v>48</v>
      </c>
      <c r="D362" s="7">
        <v>81109801008</v>
      </c>
      <c r="E362" s="7" t="s">
        <v>49</v>
      </c>
      <c r="F362" s="2">
        <f>VLOOKUP(E362,'M10B Order'!B:G,6,FALSE)</f>
        <v>0</v>
      </c>
    </row>
    <row r="363" spans="1:6" x14ac:dyDescent="0.2">
      <c r="A363" s="7" t="s">
        <v>362</v>
      </c>
      <c r="B363" s="7">
        <v>554737895</v>
      </c>
      <c r="C363" s="7" t="s">
        <v>32</v>
      </c>
      <c r="D363" s="7">
        <v>81109801229</v>
      </c>
      <c r="E363" s="7" t="s">
        <v>33</v>
      </c>
      <c r="F363" s="2">
        <f>VLOOKUP(E363,'M10B Order'!B:G,6,FALSE)</f>
        <v>0</v>
      </c>
    </row>
    <row r="364" spans="1:6" x14ac:dyDescent="0.2">
      <c r="A364" s="7" t="s">
        <v>362</v>
      </c>
      <c r="B364" s="7">
        <v>554737897</v>
      </c>
      <c r="C364" s="7" t="s">
        <v>108</v>
      </c>
      <c r="D364" s="7">
        <v>81109801106</v>
      </c>
      <c r="E364" s="7" t="s">
        <v>109</v>
      </c>
      <c r="F364" s="2">
        <f>VLOOKUP(E364,'M10B Order'!B:G,6,FALSE)</f>
        <v>0</v>
      </c>
    </row>
    <row r="365" spans="1:6" x14ac:dyDescent="0.2">
      <c r="A365" s="7" t="s">
        <v>362</v>
      </c>
      <c r="B365" s="7">
        <v>554737898</v>
      </c>
      <c r="C365" s="7" t="s">
        <v>26</v>
      </c>
      <c r="D365" s="7">
        <v>81109801029</v>
      </c>
      <c r="E365" s="7" t="s">
        <v>27</v>
      </c>
      <c r="F365" s="2">
        <f>VLOOKUP(E365,'M10B Order'!B:G,6,FALSE)</f>
        <v>0</v>
      </c>
    </row>
    <row r="366" spans="1:6" x14ac:dyDescent="0.2">
      <c r="A366" s="7" t="s">
        <v>362</v>
      </c>
      <c r="B366" s="7">
        <v>554737906</v>
      </c>
      <c r="C366" s="7" t="s">
        <v>30</v>
      </c>
      <c r="D366" s="7">
        <v>81109801105</v>
      </c>
      <c r="E366" s="7" t="s">
        <v>31</v>
      </c>
      <c r="F366" s="2">
        <f>VLOOKUP(E366,'M10B Order'!B:G,6,FALSE)</f>
        <v>0</v>
      </c>
    </row>
    <row r="367" spans="1:6" x14ac:dyDescent="0.2">
      <c r="A367" s="7" t="s">
        <v>362</v>
      </c>
      <c r="B367" s="7">
        <v>554737934</v>
      </c>
      <c r="C367" s="7" t="s">
        <v>76</v>
      </c>
      <c r="D367" s="7">
        <v>81109801091</v>
      </c>
      <c r="E367" s="7" t="s">
        <v>77</v>
      </c>
      <c r="F367" s="2">
        <f>VLOOKUP(E367,'M10B Order'!B:G,6,FALSE)</f>
        <v>0</v>
      </c>
    </row>
    <row r="368" spans="1:6" x14ac:dyDescent="0.2">
      <c r="A368" s="7" t="s">
        <v>362</v>
      </c>
      <c r="B368" s="7">
        <v>554737950</v>
      </c>
      <c r="C368" s="7" t="s">
        <v>38</v>
      </c>
      <c r="D368" s="7">
        <v>81109801246</v>
      </c>
      <c r="E368" s="7" t="s">
        <v>39</v>
      </c>
      <c r="F368" s="2">
        <f>VLOOKUP(E368,'M10B Order'!B:G,6,FALSE)</f>
        <v>0</v>
      </c>
    </row>
    <row r="369" spans="1:6" x14ac:dyDescent="0.2">
      <c r="A369" s="7" t="s">
        <v>362</v>
      </c>
      <c r="B369" s="7">
        <v>554786360</v>
      </c>
      <c r="C369" s="7" t="s">
        <v>68</v>
      </c>
      <c r="D369" s="7">
        <v>81109801245</v>
      </c>
      <c r="E369" s="7" t="s">
        <v>69</v>
      </c>
      <c r="F369" s="2">
        <f>VLOOKUP(E369,'M10B Order'!B:G,6,FALSE)</f>
        <v>0</v>
      </c>
    </row>
    <row r="370" spans="1:6" x14ac:dyDescent="0.2">
      <c r="A370" s="7" t="s">
        <v>362</v>
      </c>
      <c r="B370" s="7">
        <v>554738033</v>
      </c>
      <c r="C370" s="7" t="s">
        <v>52</v>
      </c>
      <c r="D370" s="7">
        <v>81109801217</v>
      </c>
      <c r="E370" s="7" t="s">
        <v>53</v>
      </c>
      <c r="F370" s="2">
        <f>VLOOKUP(E370,'M10B Order'!B:G,6,FALSE)</f>
        <v>0</v>
      </c>
    </row>
    <row r="371" spans="1:6" x14ac:dyDescent="0.2">
      <c r="A371" s="7" t="s">
        <v>362</v>
      </c>
      <c r="B371" s="7">
        <v>554738051</v>
      </c>
      <c r="C371" s="7" t="s">
        <v>50</v>
      </c>
      <c r="D371" s="7">
        <v>81109801100</v>
      </c>
      <c r="E371" s="7" t="s">
        <v>51</v>
      </c>
      <c r="F371" s="2">
        <f>VLOOKUP(E371,'M10B Order'!B:G,6,FALSE)</f>
        <v>0</v>
      </c>
    </row>
    <row r="372" spans="1:6" x14ac:dyDescent="0.2">
      <c r="A372" s="7" t="s">
        <v>362</v>
      </c>
      <c r="B372" s="7">
        <v>554738349</v>
      </c>
      <c r="C372" s="7" t="s">
        <v>283</v>
      </c>
      <c r="D372" s="7">
        <v>81109801266</v>
      </c>
      <c r="E372" s="7" t="s">
        <v>284</v>
      </c>
      <c r="F372" s="2">
        <f>VLOOKUP(E372,'M10B Order'!B:G,6,FALSE)</f>
        <v>0</v>
      </c>
    </row>
    <row r="373" spans="1:6" x14ac:dyDescent="0.2">
      <c r="A373" s="7" t="s">
        <v>362</v>
      </c>
      <c r="B373" s="7">
        <v>554738341</v>
      </c>
      <c r="C373" s="7" t="s">
        <v>54</v>
      </c>
      <c r="D373" s="7">
        <v>81109801233</v>
      </c>
      <c r="E373" s="7" t="s">
        <v>55</v>
      </c>
      <c r="F373" s="2">
        <f>VLOOKUP(E373,'M10B Order'!B:G,6,FALSE)</f>
        <v>0</v>
      </c>
    </row>
    <row r="374" spans="1:6" x14ac:dyDescent="0.2">
      <c r="A374" s="7" t="s">
        <v>362</v>
      </c>
      <c r="B374" s="7">
        <v>554738340</v>
      </c>
      <c r="C374" s="7" t="s">
        <v>60</v>
      </c>
      <c r="D374" s="7">
        <v>81109801285</v>
      </c>
      <c r="E374" s="7" t="s">
        <v>61</v>
      </c>
      <c r="F374" s="2">
        <f>VLOOKUP(E374,'M10B Order'!B:G,6,FALSE)</f>
        <v>0</v>
      </c>
    </row>
    <row r="375" spans="1:6" x14ac:dyDescent="0.2">
      <c r="A375" s="7" t="s">
        <v>362</v>
      </c>
      <c r="B375" s="7">
        <v>554738337</v>
      </c>
      <c r="C375" s="7" t="s">
        <v>42</v>
      </c>
      <c r="D375" s="7">
        <v>81109801062</v>
      </c>
      <c r="E375" s="7" t="s">
        <v>43</v>
      </c>
      <c r="F375" s="2">
        <f>VLOOKUP(E375,'M10B Order'!B:G,6,FALSE)</f>
        <v>0</v>
      </c>
    </row>
    <row r="376" spans="1:6" x14ac:dyDescent="0.2">
      <c r="A376" s="7" t="s">
        <v>362</v>
      </c>
      <c r="B376" s="7">
        <v>554738335</v>
      </c>
      <c r="C376" s="7" t="s">
        <v>164</v>
      </c>
      <c r="D376" s="7">
        <v>81109801103</v>
      </c>
      <c r="E376" s="7" t="s">
        <v>165</v>
      </c>
      <c r="F376" s="2">
        <f>VLOOKUP(E376,'M10B Order'!B:G,6,FALSE)</f>
        <v>0</v>
      </c>
    </row>
    <row r="377" spans="1:6" x14ac:dyDescent="0.2">
      <c r="A377" s="7" t="s">
        <v>362</v>
      </c>
      <c r="B377" s="7">
        <v>554738323</v>
      </c>
      <c r="C377" s="7" t="s">
        <v>64</v>
      </c>
      <c r="D377" s="7">
        <v>81109801002</v>
      </c>
      <c r="E377" s="7" t="s">
        <v>65</v>
      </c>
      <c r="F377" s="2">
        <f>VLOOKUP(E377,'M10B Order'!B:G,6,FALSE)</f>
        <v>0</v>
      </c>
    </row>
    <row r="378" spans="1:6" x14ac:dyDescent="0.2">
      <c r="A378" s="7" t="s">
        <v>781</v>
      </c>
      <c r="B378" s="7">
        <v>573626654</v>
      </c>
      <c r="C378" s="7" t="s">
        <v>791</v>
      </c>
      <c r="D378" s="7">
        <v>81000139158</v>
      </c>
      <c r="E378" s="7" t="s">
        <v>790</v>
      </c>
      <c r="F378" s="2">
        <f>VLOOKUP(E378,'M10B Order'!B:G,6,FALSE)</f>
        <v>0</v>
      </c>
    </row>
    <row r="379" spans="1:6" x14ac:dyDescent="0.2">
      <c r="A379" s="7" t="s">
        <v>781</v>
      </c>
      <c r="B379" s="7">
        <v>573626671</v>
      </c>
      <c r="C379" s="7" t="s">
        <v>789</v>
      </c>
      <c r="D379" s="7">
        <v>81000139161</v>
      </c>
      <c r="E379" s="7" t="s">
        <v>788</v>
      </c>
      <c r="F379" s="2">
        <f>VLOOKUP(E379,'M10B Order'!B:G,6,FALSE)</f>
        <v>0</v>
      </c>
    </row>
    <row r="380" spans="1:6" x14ac:dyDescent="0.2">
      <c r="A380" s="7" t="s">
        <v>781</v>
      </c>
      <c r="B380" s="7">
        <v>573626611</v>
      </c>
      <c r="C380" s="7" t="s">
        <v>787</v>
      </c>
      <c r="D380" s="7">
        <v>81000139159</v>
      </c>
      <c r="E380" s="7" t="s">
        <v>786</v>
      </c>
      <c r="F380" s="2">
        <f>VLOOKUP(E380,'M10B Order'!B:G,6,FALSE)</f>
        <v>0</v>
      </c>
    </row>
    <row r="381" spans="1:6" x14ac:dyDescent="0.2">
      <c r="A381" s="7" t="s">
        <v>781</v>
      </c>
      <c r="B381" s="7">
        <v>573626617</v>
      </c>
      <c r="C381" s="7" t="s">
        <v>785</v>
      </c>
      <c r="D381" s="7">
        <v>81000139157</v>
      </c>
      <c r="E381" s="7" t="s">
        <v>784</v>
      </c>
      <c r="F381" s="2">
        <f>VLOOKUP(E381,'M10B Order'!B:G,6,FALSE)</f>
        <v>0</v>
      </c>
    </row>
    <row r="382" spans="1:6" x14ac:dyDescent="0.2">
      <c r="A382" s="7" t="s">
        <v>781</v>
      </c>
      <c r="B382" s="7">
        <v>573626638</v>
      </c>
      <c r="C382" s="7" t="s">
        <v>783</v>
      </c>
      <c r="D382" s="7">
        <v>81000139160</v>
      </c>
      <c r="E382" s="7" t="s">
        <v>782</v>
      </c>
      <c r="F382" s="2">
        <f>VLOOKUP(E382,'M10B Order'!B:G,6,FALSE)</f>
        <v>0</v>
      </c>
    </row>
    <row r="383" spans="1:6" x14ac:dyDescent="0.2">
      <c r="A383" s="7" t="s">
        <v>365</v>
      </c>
      <c r="B383" s="7">
        <v>554919713</v>
      </c>
      <c r="C383" s="7" t="s">
        <v>287</v>
      </c>
      <c r="D383" s="7">
        <v>81109801728</v>
      </c>
      <c r="E383" s="7" t="s">
        <v>288</v>
      </c>
      <c r="F383" s="2">
        <f>VLOOKUP(E383,'M10B Order'!B:G,6,FALSE)</f>
        <v>0</v>
      </c>
    </row>
    <row r="384" spans="1:6" x14ac:dyDescent="0.2">
      <c r="A384" s="7" t="s">
        <v>365</v>
      </c>
      <c r="B384" s="7">
        <v>554919710</v>
      </c>
      <c r="C384" s="7" t="s">
        <v>120</v>
      </c>
      <c r="D384" s="7">
        <v>81109801727</v>
      </c>
      <c r="E384" s="7" t="s">
        <v>121</v>
      </c>
      <c r="F384" s="2">
        <f>VLOOKUP(E384,'M10B Order'!B:G,6,FALSE)</f>
        <v>0</v>
      </c>
    </row>
    <row r="385" spans="1:6" x14ac:dyDescent="0.2">
      <c r="A385" s="7" t="s">
        <v>365</v>
      </c>
      <c r="B385" s="7">
        <v>554919715</v>
      </c>
      <c r="C385" s="7" t="s">
        <v>179</v>
      </c>
      <c r="D385" s="7">
        <v>81109801729</v>
      </c>
      <c r="E385" s="7" t="s">
        <v>180</v>
      </c>
      <c r="F385" s="2">
        <f>VLOOKUP(E385,'M10B Order'!B:G,6,FALSE)</f>
        <v>0</v>
      </c>
    </row>
    <row r="386" spans="1:6" x14ac:dyDescent="0.2">
      <c r="A386" s="7" t="s">
        <v>365</v>
      </c>
      <c r="B386" s="7">
        <v>554919720</v>
      </c>
      <c r="C386" s="7" t="s">
        <v>18</v>
      </c>
      <c r="D386" s="7">
        <v>81109801731</v>
      </c>
      <c r="E386" s="7" t="s">
        <v>19</v>
      </c>
      <c r="F386" s="2">
        <f>VLOOKUP(E386,'M10B Order'!B:G,6,FALSE)</f>
        <v>0</v>
      </c>
    </row>
    <row r="387" spans="1:6" x14ac:dyDescent="0.2">
      <c r="A387" s="7" t="s">
        <v>365</v>
      </c>
      <c r="B387" s="7">
        <v>554919567</v>
      </c>
      <c r="C387" s="7" t="s">
        <v>323</v>
      </c>
      <c r="D387" s="7">
        <v>81109801967</v>
      </c>
      <c r="E387" s="7" t="s">
        <v>324</v>
      </c>
      <c r="F387" s="2">
        <f>VLOOKUP(E387,'M10B Order'!B:G,6,FALSE)</f>
        <v>0</v>
      </c>
    </row>
    <row r="388" spans="1:6" x14ac:dyDescent="0.2">
      <c r="A388" s="7" t="s">
        <v>485</v>
      </c>
      <c r="B388" s="7">
        <v>558137560</v>
      </c>
      <c r="C388" s="7" t="s">
        <v>492</v>
      </c>
      <c r="D388" s="7">
        <v>81446902784</v>
      </c>
      <c r="E388" s="7" t="s">
        <v>493</v>
      </c>
      <c r="F388" s="2">
        <f>VLOOKUP(E388,'M10B Order'!B:G,6,FALSE)</f>
        <v>0</v>
      </c>
    </row>
    <row r="389" spans="1:6" x14ac:dyDescent="0.2">
      <c r="A389" s="7" t="s">
        <v>485</v>
      </c>
      <c r="B389" s="7">
        <v>558137569</v>
      </c>
      <c r="C389" s="7" t="s">
        <v>494</v>
      </c>
      <c r="D389" s="7">
        <v>81446902788</v>
      </c>
      <c r="E389" s="7" t="s">
        <v>495</v>
      </c>
      <c r="F389" s="2">
        <f>VLOOKUP(E389,'M10B Order'!B:G,6,FALSE)</f>
        <v>0</v>
      </c>
    </row>
    <row r="390" spans="1:6" x14ac:dyDescent="0.2">
      <c r="A390" s="7" t="s">
        <v>485</v>
      </c>
      <c r="B390" s="7">
        <v>558137557</v>
      </c>
      <c r="C390" s="7" t="s">
        <v>496</v>
      </c>
      <c r="D390" s="7">
        <v>81446902792</v>
      </c>
      <c r="E390" s="7" t="s">
        <v>497</v>
      </c>
      <c r="F390" s="2">
        <f>VLOOKUP(E390,'M10B Order'!B:G,6,FALSE)</f>
        <v>0</v>
      </c>
    </row>
    <row r="391" spans="1:6" x14ac:dyDescent="0.2">
      <c r="A391" s="7" t="s">
        <v>485</v>
      </c>
      <c r="B391" s="7">
        <v>558137535</v>
      </c>
      <c r="C391" s="7" t="s">
        <v>498</v>
      </c>
      <c r="D391" s="7">
        <v>81446902785</v>
      </c>
      <c r="E391" s="7" t="s">
        <v>499</v>
      </c>
      <c r="F391" s="2">
        <f>VLOOKUP(E391,'M10B Order'!B:G,6,FALSE)</f>
        <v>0</v>
      </c>
    </row>
    <row r="392" spans="1:6" x14ac:dyDescent="0.2">
      <c r="A392" s="7" t="s">
        <v>485</v>
      </c>
      <c r="B392" s="7">
        <v>558137568</v>
      </c>
      <c r="C392" s="7" t="s">
        <v>500</v>
      </c>
      <c r="D392" s="7">
        <v>81446902786</v>
      </c>
      <c r="E392" s="7" t="s">
        <v>501</v>
      </c>
      <c r="F392" s="2">
        <f>VLOOKUP(E392,'M10B Order'!B:G,6,FALSE)</f>
        <v>0</v>
      </c>
    </row>
    <row r="393" spans="1:6" x14ac:dyDescent="0.2">
      <c r="A393" s="7" t="s">
        <v>485</v>
      </c>
      <c r="B393" s="7">
        <v>564246580</v>
      </c>
      <c r="C393" s="7" t="s">
        <v>502</v>
      </c>
      <c r="D393" s="7">
        <v>81446902781</v>
      </c>
      <c r="E393" s="7" t="s">
        <v>503</v>
      </c>
      <c r="F393" s="2">
        <f>VLOOKUP(E393,'M10B Order'!B:G,6,FALSE)</f>
        <v>0</v>
      </c>
    </row>
    <row r="394" spans="1:6" x14ac:dyDescent="0.2">
      <c r="A394" s="7" t="s">
        <v>772</v>
      </c>
      <c r="B394" s="7">
        <v>573626505</v>
      </c>
      <c r="C394" s="7" t="s">
        <v>776</v>
      </c>
      <c r="D394" s="7">
        <v>81000139094</v>
      </c>
      <c r="E394" s="7" t="s">
        <v>775</v>
      </c>
      <c r="F394" s="2">
        <f>VLOOKUP(E394,'M10B Order'!B:G,6,FALSE)</f>
        <v>0</v>
      </c>
    </row>
    <row r="395" spans="1:6" x14ac:dyDescent="0.2">
      <c r="A395" s="7" t="s">
        <v>772</v>
      </c>
      <c r="B395" s="7">
        <v>573626578</v>
      </c>
      <c r="C395" s="7" t="s">
        <v>774</v>
      </c>
      <c r="D395" s="7">
        <v>81000139078</v>
      </c>
      <c r="E395" s="7" t="s">
        <v>773</v>
      </c>
      <c r="F395" s="2">
        <f>VLOOKUP(E395,'M10B Order'!B:G,6,FALSE)</f>
        <v>0</v>
      </c>
    </row>
    <row r="396" spans="1:6" x14ac:dyDescent="0.2">
      <c r="A396" s="7" t="s">
        <v>365</v>
      </c>
      <c r="B396" s="7">
        <v>554919909</v>
      </c>
      <c r="C396" s="7" t="s">
        <v>353</v>
      </c>
      <c r="D396" s="7">
        <v>81109801832</v>
      </c>
      <c r="E396" s="7" t="s">
        <v>354</v>
      </c>
      <c r="F396" s="2">
        <f>VLOOKUP(E396,'M10B Order'!B:G,6,FALSE)</f>
        <v>0</v>
      </c>
    </row>
    <row r="397" spans="1:6" x14ac:dyDescent="0.2">
      <c r="A397" s="7" t="s">
        <v>370</v>
      </c>
      <c r="B397" s="7">
        <v>557968918</v>
      </c>
      <c r="C397" s="7" t="s">
        <v>1068</v>
      </c>
      <c r="D397" s="7">
        <v>74513891620</v>
      </c>
      <c r="E397" s="7" t="s">
        <v>1067</v>
      </c>
      <c r="F397" s="2">
        <f>VLOOKUP(E397,'M10B Order'!B:G,6,FALSE)</f>
        <v>0</v>
      </c>
    </row>
    <row r="398" spans="1:6" x14ac:dyDescent="0.2">
      <c r="A398" s="7" t="s">
        <v>370</v>
      </c>
      <c r="B398" s="7">
        <v>573608975</v>
      </c>
      <c r="C398" s="7" t="s">
        <v>1053</v>
      </c>
      <c r="D398" s="7" t="s">
        <v>1116</v>
      </c>
      <c r="E398" s="7" t="s">
        <v>1052</v>
      </c>
      <c r="F398" s="2">
        <f>VLOOKUP(E398,'M10B Order'!B:G,6,FALSE)</f>
        <v>0</v>
      </c>
    </row>
    <row r="399" spans="1:6" x14ac:dyDescent="0.2">
      <c r="A399" s="7" t="s">
        <v>370</v>
      </c>
      <c r="B399" s="7">
        <v>573608979</v>
      </c>
      <c r="C399" s="7" t="s">
        <v>1100</v>
      </c>
      <c r="D399" s="7" t="s">
        <v>1117</v>
      </c>
      <c r="E399" s="7" t="s">
        <v>1099</v>
      </c>
      <c r="F399" s="2">
        <f>VLOOKUP(E399,'M10B Order'!B:G,6,FALSE)</f>
        <v>0</v>
      </c>
    </row>
    <row r="400" spans="1:6" x14ac:dyDescent="0.2">
      <c r="A400" s="7" t="s">
        <v>370</v>
      </c>
      <c r="B400" s="7">
        <v>573608978</v>
      </c>
      <c r="C400" s="7" t="s">
        <v>1102</v>
      </c>
      <c r="D400" s="7" t="s">
        <v>1118</v>
      </c>
      <c r="E400" s="7" t="s">
        <v>1101</v>
      </c>
      <c r="F400" s="2">
        <f>VLOOKUP(E400,'M10B Order'!B:G,6,FALSE)</f>
        <v>0</v>
      </c>
    </row>
    <row r="401" spans="1:6" x14ac:dyDescent="0.2">
      <c r="A401" s="7" t="s">
        <v>370</v>
      </c>
      <c r="B401" s="7">
        <v>573608983</v>
      </c>
      <c r="C401" s="7" t="s">
        <v>1104</v>
      </c>
      <c r="D401" s="7" t="s">
        <v>1119</v>
      </c>
      <c r="E401" s="7" t="s">
        <v>1103</v>
      </c>
      <c r="F401" s="2">
        <f>VLOOKUP(E401,'M10B Order'!B:G,6,FALSE)</f>
        <v>0</v>
      </c>
    </row>
    <row r="402" spans="1:6" x14ac:dyDescent="0.2">
      <c r="A402" s="7" t="s">
        <v>370</v>
      </c>
      <c r="B402" s="7">
        <v>573608981</v>
      </c>
      <c r="C402" s="7" t="s">
        <v>1057</v>
      </c>
      <c r="D402" s="7" t="s">
        <v>1120</v>
      </c>
      <c r="E402" s="7" t="s">
        <v>1056</v>
      </c>
      <c r="F402" s="2">
        <f>VLOOKUP(E402,'M10B Order'!B:G,6,FALSE)</f>
        <v>0</v>
      </c>
    </row>
    <row r="403" spans="1:6" x14ac:dyDescent="0.2">
      <c r="A403" s="7" t="s">
        <v>370</v>
      </c>
      <c r="B403" s="7">
        <v>553671150</v>
      </c>
      <c r="C403" s="7" t="s">
        <v>1106</v>
      </c>
      <c r="D403" s="7" t="s">
        <v>1115</v>
      </c>
      <c r="E403" s="7" t="s">
        <v>1105</v>
      </c>
      <c r="F403" s="2">
        <f>VLOOKUP(E403,'M10B Order'!B:G,6,FALSE)</f>
        <v>0</v>
      </c>
    </row>
    <row r="404" spans="1:6" x14ac:dyDescent="0.2">
      <c r="A404" s="7" t="s">
        <v>365</v>
      </c>
      <c r="B404" s="7">
        <v>554919737</v>
      </c>
      <c r="C404" s="7" t="s">
        <v>347</v>
      </c>
      <c r="D404" s="7">
        <v>81109801739</v>
      </c>
      <c r="E404" s="7" t="s">
        <v>348</v>
      </c>
      <c r="F404" s="2">
        <f>VLOOKUP(E404,'M10B Order'!B:G,6,FALSE)</f>
        <v>0</v>
      </c>
    </row>
    <row r="405" spans="1:6" x14ac:dyDescent="0.2">
      <c r="A405" s="7" t="s">
        <v>365</v>
      </c>
      <c r="B405" s="7">
        <v>554919869</v>
      </c>
      <c r="C405" s="7" t="s">
        <v>337</v>
      </c>
      <c r="D405" s="7">
        <v>81109801793</v>
      </c>
      <c r="E405" s="7" t="s">
        <v>338</v>
      </c>
      <c r="F405" s="2">
        <f>VLOOKUP(E405,'M10B Order'!B:G,6,FALSE)</f>
        <v>0</v>
      </c>
    </row>
    <row r="406" spans="1:6" x14ac:dyDescent="0.2">
      <c r="A406" s="7" t="s">
        <v>365</v>
      </c>
      <c r="B406" s="7">
        <v>554919693</v>
      </c>
      <c r="C406" s="7" t="s">
        <v>335</v>
      </c>
      <c r="D406" s="7">
        <v>81109801721</v>
      </c>
      <c r="E406" s="7" t="s">
        <v>336</v>
      </c>
      <c r="F406" s="2">
        <f>VLOOKUP(E406,'M10B Order'!B:G,6,FALSE)</f>
        <v>0</v>
      </c>
    </row>
    <row r="407" spans="1:6" x14ac:dyDescent="0.2">
      <c r="A407" s="7" t="s">
        <v>365</v>
      </c>
      <c r="B407" s="7">
        <v>554919626</v>
      </c>
      <c r="C407" s="7" t="s">
        <v>293</v>
      </c>
      <c r="D407" s="7">
        <v>81109801583</v>
      </c>
      <c r="E407" s="7" t="s">
        <v>294</v>
      </c>
      <c r="F407" s="2">
        <f>VLOOKUP(E407,'M10B Order'!B:G,6,FALSE)</f>
        <v>0</v>
      </c>
    </row>
    <row r="408" spans="1:6" x14ac:dyDescent="0.2">
      <c r="A408" s="7" t="s">
        <v>365</v>
      </c>
      <c r="B408" s="7">
        <v>554919731</v>
      </c>
      <c r="C408" s="7" t="s">
        <v>8</v>
      </c>
      <c r="D408" s="7">
        <v>81109801737</v>
      </c>
      <c r="E408" s="7" t="s">
        <v>9</v>
      </c>
      <c r="F408" s="2">
        <f>VLOOKUP(E408,'M10B Order'!B:G,6,FALSE)</f>
        <v>0</v>
      </c>
    </row>
    <row r="409" spans="1:6" x14ac:dyDescent="0.2">
      <c r="A409" s="7" t="s">
        <v>365</v>
      </c>
      <c r="B409" s="7">
        <v>554919845</v>
      </c>
      <c r="C409" s="7" t="s">
        <v>345</v>
      </c>
      <c r="D409" s="7">
        <v>81109801780</v>
      </c>
      <c r="E409" s="7" t="s">
        <v>346</v>
      </c>
      <c r="F409" s="2">
        <f>VLOOKUP(E409,'M10B Order'!B:G,6,FALSE)</f>
        <v>0</v>
      </c>
    </row>
    <row r="410" spans="1:6" x14ac:dyDescent="0.2">
      <c r="A410" s="7" t="s">
        <v>365</v>
      </c>
      <c r="B410" s="7">
        <v>554919855</v>
      </c>
      <c r="C410" s="7" t="s">
        <v>112</v>
      </c>
      <c r="D410" s="7">
        <v>81109801785</v>
      </c>
      <c r="E410" s="7" t="s">
        <v>113</v>
      </c>
      <c r="F410" s="2">
        <f>VLOOKUP(E410,'M10B Order'!B:G,6,FALSE)</f>
        <v>0</v>
      </c>
    </row>
    <row r="411" spans="1:6" x14ac:dyDescent="0.2">
      <c r="A411" s="7" t="s">
        <v>365</v>
      </c>
      <c r="B411" s="7">
        <v>554919856</v>
      </c>
      <c r="C411" s="7" t="s">
        <v>269</v>
      </c>
      <c r="D411" s="7">
        <v>81109801786</v>
      </c>
      <c r="E411" s="7" t="s">
        <v>270</v>
      </c>
      <c r="F411" s="2">
        <f>VLOOKUP(E411,'M10B Order'!B:G,6,FALSE)</f>
        <v>0</v>
      </c>
    </row>
    <row r="412" spans="1:6" x14ac:dyDescent="0.2">
      <c r="A412" s="7" t="s">
        <v>365</v>
      </c>
      <c r="B412" s="7">
        <v>554919836</v>
      </c>
      <c r="C412" s="7" t="s">
        <v>297</v>
      </c>
      <c r="D412" s="7">
        <v>81109801775</v>
      </c>
      <c r="E412" s="7" t="s">
        <v>298</v>
      </c>
      <c r="F412" s="2">
        <f>VLOOKUP(E412,'M10B Order'!B:G,6,FALSE)</f>
        <v>0</v>
      </c>
    </row>
    <row r="413" spans="1:6" x14ac:dyDescent="0.2">
      <c r="A413" s="7" t="s">
        <v>365</v>
      </c>
      <c r="B413" s="7">
        <v>554919620</v>
      </c>
      <c r="C413" s="7" t="s">
        <v>104</v>
      </c>
      <c r="D413" s="7">
        <v>81109801988</v>
      </c>
      <c r="E413" s="7" t="s">
        <v>105</v>
      </c>
      <c r="F413" s="2">
        <f>VLOOKUP(E413,'M10B Order'!B:G,6,FALSE)</f>
        <v>0</v>
      </c>
    </row>
    <row r="414" spans="1:6" x14ac:dyDescent="0.2">
      <c r="A414" s="7" t="s">
        <v>365</v>
      </c>
      <c r="B414" s="7">
        <v>554919858</v>
      </c>
      <c r="C414" s="7" t="s">
        <v>20</v>
      </c>
      <c r="D414" s="7">
        <v>81109801787</v>
      </c>
      <c r="E414" s="7" t="s">
        <v>21</v>
      </c>
      <c r="F414" s="2">
        <f>VLOOKUP(E414,'M10B Order'!B:G,6,FALSE)</f>
        <v>0</v>
      </c>
    </row>
    <row r="415" spans="1:6" x14ac:dyDescent="0.2">
      <c r="A415" s="7" t="s">
        <v>365</v>
      </c>
      <c r="B415" s="7">
        <v>554919707</v>
      </c>
      <c r="C415" s="7" t="s">
        <v>12</v>
      </c>
      <c r="D415" s="7">
        <v>81109801726</v>
      </c>
      <c r="E415" s="7" t="s">
        <v>13</v>
      </c>
      <c r="F415" s="2">
        <f>VLOOKUP(E415,'M10B Order'!B:G,6,FALSE)</f>
        <v>0</v>
      </c>
    </row>
    <row r="416" spans="1:6" x14ac:dyDescent="0.2">
      <c r="A416" s="7" t="s">
        <v>365</v>
      </c>
      <c r="B416" s="7">
        <v>554919860</v>
      </c>
      <c r="C416" s="7" t="s">
        <v>303</v>
      </c>
      <c r="D416" s="7">
        <v>81109801788</v>
      </c>
      <c r="E416" s="7" t="s">
        <v>304</v>
      </c>
      <c r="F416" s="2">
        <f>VLOOKUP(E416,'M10B Order'!B:G,6,FALSE)</f>
        <v>0</v>
      </c>
    </row>
    <row r="417" spans="1:6" x14ac:dyDescent="0.2">
      <c r="A417" s="7" t="s">
        <v>365</v>
      </c>
      <c r="B417" s="7">
        <v>554919851</v>
      </c>
      <c r="C417" s="7" t="s">
        <v>14</v>
      </c>
      <c r="D417" s="7">
        <v>81109801783</v>
      </c>
      <c r="E417" s="7" t="s">
        <v>15</v>
      </c>
      <c r="F417" s="2">
        <f>VLOOKUP(E417,'M10B Order'!B:G,6,FALSE)</f>
        <v>0</v>
      </c>
    </row>
    <row r="418" spans="1:6" x14ac:dyDescent="0.2">
      <c r="A418" s="7" t="s">
        <v>365</v>
      </c>
      <c r="B418" s="7">
        <v>554919790</v>
      </c>
      <c r="C418" s="7" t="s">
        <v>24</v>
      </c>
      <c r="D418" s="7">
        <v>81109801758</v>
      </c>
      <c r="E418" s="7" t="s">
        <v>25</v>
      </c>
      <c r="F418" s="2">
        <f>VLOOKUP(E418,'M10B Order'!B:G,6,FALSE)</f>
        <v>0</v>
      </c>
    </row>
    <row r="419" spans="1:6" x14ac:dyDescent="0.2">
      <c r="A419" s="7" t="s">
        <v>365</v>
      </c>
      <c r="B419" s="7">
        <v>554919781</v>
      </c>
      <c r="C419" s="7" t="s">
        <v>82</v>
      </c>
      <c r="D419" s="7">
        <v>81109801755</v>
      </c>
      <c r="E419" s="7" t="s">
        <v>83</v>
      </c>
      <c r="F419" s="2">
        <f>VLOOKUP(E419,'M10B Order'!B:G,6,FALSE)</f>
        <v>0</v>
      </c>
    </row>
    <row r="420" spans="1:6" x14ac:dyDescent="0.2">
      <c r="A420" s="7" t="s">
        <v>365</v>
      </c>
      <c r="B420" s="7">
        <v>554919779</v>
      </c>
      <c r="C420" s="7" t="s">
        <v>128</v>
      </c>
      <c r="D420" s="7">
        <v>81109801754</v>
      </c>
      <c r="E420" s="7" t="s">
        <v>129</v>
      </c>
      <c r="F420" s="2">
        <f>VLOOKUP(E420,'M10B Order'!B:G,6,FALSE)</f>
        <v>0</v>
      </c>
    </row>
    <row r="421" spans="1:6" x14ac:dyDescent="0.2">
      <c r="A421" s="7" t="s">
        <v>365</v>
      </c>
      <c r="B421" s="7">
        <v>554919768</v>
      </c>
      <c r="C421" s="7" t="s">
        <v>90</v>
      </c>
      <c r="D421" s="7">
        <v>81109801750</v>
      </c>
      <c r="E421" s="7" t="s">
        <v>91</v>
      </c>
      <c r="F421" s="2">
        <f>VLOOKUP(E421,'M10B Order'!B:G,6,FALSE)</f>
        <v>0</v>
      </c>
    </row>
    <row r="422" spans="1:6" x14ac:dyDescent="0.2">
      <c r="A422" s="7" t="s">
        <v>365</v>
      </c>
      <c r="B422" s="7">
        <v>554919765</v>
      </c>
      <c r="C422" s="7" t="s">
        <v>144</v>
      </c>
      <c r="D422" s="7">
        <v>81109801749</v>
      </c>
      <c r="E422" s="7" t="s">
        <v>145</v>
      </c>
      <c r="F422" s="2">
        <f>VLOOKUP(E422,'M10B Order'!B:G,6,FALSE)</f>
        <v>0</v>
      </c>
    </row>
    <row r="423" spans="1:6" x14ac:dyDescent="0.2">
      <c r="A423" s="7" t="s">
        <v>365</v>
      </c>
      <c r="B423" s="7">
        <v>554919784</v>
      </c>
      <c r="C423" s="7" t="s">
        <v>256</v>
      </c>
      <c r="D423" s="7">
        <v>81109801756</v>
      </c>
      <c r="E423" s="7" t="s">
        <v>257</v>
      </c>
      <c r="F423" s="2">
        <f>VLOOKUP(E423,'M10B Order'!B:G,6,FALSE)</f>
        <v>0</v>
      </c>
    </row>
    <row r="424" spans="1:6" x14ac:dyDescent="0.2">
      <c r="A424" s="7" t="s">
        <v>365</v>
      </c>
      <c r="B424" s="7">
        <v>554919776</v>
      </c>
      <c r="C424" s="7" t="s">
        <v>148</v>
      </c>
      <c r="D424" s="7">
        <v>81109801753</v>
      </c>
      <c r="E424" s="7" t="s">
        <v>149</v>
      </c>
      <c r="F424" s="2">
        <f>VLOOKUP(E424,'M10B Order'!B:G,6,FALSE)</f>
        <v>0</v>
      </c>
    </row>
    <row r="425" spans="1:6" x14ac:dyDescent="0.2">
      <c r="A425" s="7" t="s">
        <v>365</v>
      </c>
      <c r="B425" s="7">
        <v>554919788</v>
      </c>
      <c r="C425" s="7" t="s">
        <v>94</v>
      </c>
      <c r="D425" s="7">
        <v>81109801757</v>
      </c>
      <c r="E425" s="7" t="s">
        <v>95</v>
      </c>
      <c r="F425" s="2">
        <f>VLOOKUP(E425,'M10B Order'!B:G,6,FALSE)</f>
        <v>0</v>
      </c>
    </row>
    <row r="426" spans="1:6" x14ac:dyDescent="0.2">
      <c r="A426" s="7" t="s">
        <v>365</v>
      </c>
      <c r="B426" s="7">
        <v>554919771</v>
      </c>
      <c r="C426" s="7" t="s">
        <v>301</v>
      </c>
      <c r="D426" s="7">
        <v>81109801751</v>
      </c>
      <c r="E426" s="7" t="s">
        <v>302</v>
      </c>
      <c r="F426" s="2">
        <f>VLOOKUP(E426,'M10B Order'!B:G,6,FALSE)</f>
        <v>0</v>
      </c>
    </row>
    <row r="427" spans="1:6" x14ac:dyDescent="0.2">
      <c r="A427" s="7" t="s">
        <v>365</v>
      </c>
      <c r="B427" s="7">
        <v>554919793</v>
      </c>
      <c r="C427" s="7" t="s">
        <v>96</v>
      </c>
      <c r="D427" s="7">
        <v>81109801759</v>
      </c>
      <c r="E427" s="7" t="s">
        <v>97</v>
      </c>
      <c r="F427" s="2">
        <f>VLOOKUP(E427,'M10B Order'!B:G,6,FALSE)</f>
        <v>0</v>
      </c>
    </row>
    <row r="428" spans="1:6" x14ac:dyDescent="0.2">
      <c r="A428" s="7" t="s">
        <v>365</v>
      </c>
      <c r="B428" s="7">
        <v>554919798</v>
      </c>
      <c r="C428" s="7" t="s">
        <v>160</v>
      </c>
      <c r="D428" s="7">
        <v>81109801761</v>
      </c>
      <c r="E428" s="7" t="s">
        <v>161</v>
      </c>
      <c r="F428" s="2">
        <f>VLOOKUP(E428,'M10B Order'!B:G,6,FALSE)</f>
        <v>0</v>
      </c>
    </row>
    <row r="429" spans="1:6" x14ac:dyDescent="0.2">
      <c r="A429" s="7" t="s">
        <v>365</v>
      </c>
      <c r="B429" s="7">
        <v>554919843</v>
      </c>
      <c r="C429" s="7" t="s">
        <v>177</v>
      </c>
      <c r="D429" s="7">
        <v>81109801779</v>
      </c>
      <c r="E429" s="7" t="s">
        <v>178</v>
      </c>
      <c r="F429" s="2">
        <f>VLOOKUP(E429,'M10B Order'!B:G,6,FALSE)</f>
        <v>0</v>
      </c>
    </row>
    <row r="430" spans="1:6" x14ac:dyDescent="0.2">
      <c r="A430" s="7" t="s">
        <v>365</v>
      </c>
      <c r="B430" s="7">
        <v>554919762</v>
      </c>
      <c r="C430" s="7" t="s">
        <v>162</v>
      </c>
      <c r="D430" s="7">
        <v>81109801748</v>
      </c>
      <c r="E430" s="7" t="s">
        <v>163</v>
      </c>
      <c r="F430" s="2">
        <f>VLOOKUP(E430,'M10B Order'!B:G,6,FALSE)</f>
        <v>0</v>
      </c>
    </row>
    <row r="431" spans="1:6" x14ac:dyDescent="0.2">
      <c r="A431" s="7" t="s">
        <v>365</v>
      </c>
      <c r="B431" s="7">
        <v>554919795</v>
      </c>
      <c r="C431" s="7" t="s">
        <v>88</v>
      </c>
      <c r="D431" s="7">
        <v>81109801760</v>
      </c>
      <c r="E431" s="7" t="s">
        <v>89</v>
      </c>
      <c r="F431" s="2">
        <f>VLOOKUP(E431,'M10B Order'!B:G,6,FALSE)</f>
        <v>0</v>
      </c>
    </row>
    <row r="432" spans="1:6" x14ac:dyDescent="0.2">
      <c r="A432" s="7" t="s">
        <v>365</v>
      </c>
      <c r="B432" s="7">
        <v>554919801</v>
      </c>
      <c r="C432" s="7" t="s">
        <v>152</v>
      </c>
      <c r="D432" s="7">
        <v>81109801762</v>
      </c>
      <c r="E432" s="7" t="s">
        <v>153</v>
      </c>
      <c r="F432" s="2">
        <f>VLOOKUP(E432,'M10B Order'!B:G,6,FALSE)</f>
        <v>0</v>
      </c>
    </row>
    <row r="433" spans="1:6" x14ac:dyDescent="0.2">
      <c r="A433" s="7" t="s">
        <v>365</v>
      </c>
      <c r="B433" s="7">
        <v>554919803</v>
      </c>
      <c r="C433" s="7" t="s">
        <v>355</v>
      </c>
      <c r="D433" s="7">
        <v>81109801763</v>
      </c>
      <c r="E433" s="7" t="s">
        <v>356</v>
      </c>
      <c r="F433" s="2">
        <f>VLOOKUP(E433,'M10B Order'!B:G,6,FALSE)</f>
        <v>0</v>
      </c>
    </row>
    <row r="434" spans="1:6" x14ac:dyDescent="0.2">
      <c r="A434" s="7" t="s">
        <v>365</v>
      </c>
      <c r="B434" s="7">
        <v>554919911</v>
      </c>
      <c r="C434" s="7" t="s">
        <v>228</v>
      </c>
      <c r="D434" s="7">
        <v>81109801834</v>
      </c>
      <c r="E434" s="7" t="s">
        <v>229</v>
      </c>
      <c r="F434" s="2">
        <f>VLOOKUP(E434,'M10B Order'!B:G,6,FALSE)</f>
        <v>0</v>
      </c>
    </row>
    <row r="435" spans="1:6" x14ac:dyDescent="0.2">
      <c r="A435" s="7" t="s">
        <v>365</v>
      </c>
      <c r="B435" s="7">
        <v>554919751</v>
      </c>
      <c r="C435" s="7" t="s">
        <v>311</v>
      </c>
      <c r="D435" s="7">
        <v>81109801744</v>
      </c>
      <c r="E435" s="7" t="s">
        <v>312</v>
      </c>
      <c r="F435" s="2">
        <f>VLOOKUP(E435,'M10B Order'!B:G,6,FALSE)</f>
        <v>0</v>
      </c>
    </row>
    <row r="436" spans="1:6" x14ac:dyDescent="0.2">
      <c r="A436" s="7" t="s">
        <v>365</v>
      </c>
      <c r="B436" s="7">
        <v>554919918</v>
      </c>
      <c r="C436" s="7" t="s">
        <v>240</v>
      </c>
      <c r="D436" s="7">
        <v>81109801841</v>
      </c>
      <c r="E436" s="7" t="s">
        <v>241</v>
      </c>
      <c r="F436" s="2">
        <f>VLOOKUP(E436,'M10B Order'!B:G,6,FALSE)</f>
        <v>0</v>
      </c>
    </row>
    <row r="437" spans="1:6" x14ac:dyDescent="0.2">
      <c r="A437" s="7" t="s">
        <v>365</v>
      </c>
      <c r="B437" s="7">
        <v>554919749</v>
      </c>
      <c r="C437" s="7" t="s">
        <v>329</v>
      </c>
      <c r="D437" s="7">
        <v>81109801743</v>
      </c>
      <c r="E437" s="7" t="s">
        <v>330</v>
      </c>
      <c r="F437" s="2">
        <f>VLOOKUP(E437,'M10B Order'!B:G,6,FALSE)</f>
        <v>0</v>
      </c>
    </row>
    <row r="438" spans="1:6" x14ac:dyDescent="0.2">
      <c r="A438" s="7" t="s">
        <v>365</v>
      </c>
      <c r="B438" s="7">
        <v>554919729</v>
      </c>
      <c r="C438" s="7" t="s">
        <v>273</v>
      </c>
      <c r="D438" s="7">
        <v>81109801736</v>
      </c>
      <c r="E438" s="7" t="s">
        <v>274</v>
      </c>
      <c r="F438" s="2">
        <f>VLOOKUP(E438,'M10B Order'!B:G,6,FALSE)</f>
        <v>0</v>
      </c>
    </row>
    <row r="439" spans="1:6" x14ac:dyDescent="0.2">
      <c r="A439" s="7" t="s">
        <v>365</v>
      </c>
      <c r="B439" s="7">
        <v>554919509</v>
      </c>
      <c r="C439" s="7" t="s">
        <v>138</v>
      </c>
      <c r="D439" s="7">
        <v>81109801946</v>
      </c>
      <c r="E439" s="7" t="s">
        <v>139</v>
      </c>
      <c r="F439" s="2">
        <f>VLOOKUP(E439,'M10B Order'!B:G,6,FALSE)</f>
        <v>0</v>
      </c>
    </row>
    <row r="440" spans="1:6" x14ac:dyDescent="0.2">
      <c r="A440" s="7" t="s">
        <v>365</v>
      </c>
      <c r="B440" s="7">
        <v>554919754</v>
      </c>
      <c r="C440" s="7" t="s">
        <v>261</v>
      </c>
      <c r="D440" s="7">
        <v>81109801745</v>
      </c>
      <c r="E440" s="7" t="s">
        <v>262</v>
      </c>
      <c r="F440" s="2">
        <f>VLOOKUP(E440,'M10B Order'!B:G,6,FALSE)</f>
        <v>0</v>
      </c>
    </row>
    <row r="441" spans="1:6" x14ac:dyDescent="0.2">
      <c r="A441" s="7" t="s">
        <v>365</v>
      </c>
      <c r="B441" s="7">
        <v>554919740</v>
      </c>
      <c r="C441" s="7" t="s">
        <v>150</v>
      </c>
      <c r="D441" s="7">
        <v>81109801740</v>
      </c>
      <c r="E441" s="7" t="s">
        <v>151</v>
      </c>
      <c r="F441" s="2">
        <f>VLOOKUP(E441,'M10B Order'!B:G,6,FALSE)</f>
        <v>0</v>
      </c>
    </row>
    <row r="442" spans="1:6" x14ac:dyDescent="0.2">
      <c r="A442" s="7" t="s">
        <v>365</v>
      </c>
      <c r="B442" s="7">
        <v>554919831</v>
      </c>
      <c r="C442" s="7" t="s">
        <v>98</v>
      </c>
      <c r="D442" s="7">
        <v>81109801773</v>
      </c>
      <c r="E442" s="7" t="s">
        <v>99</v>
      </c>
      <c r="F442" s="2">
        <f>VLOOKUP(E442,'M10B Order'!B:G,6,FALSE)</f>
        <v>0</v>
      </c>
    </row>
    <row r="443" spans="1:6" x14ac:dyDescent="0.2">
      <c r="A443" s="7" t="s">
        <v>365</v>
      </c>
      <c r="B443" s="7">
        <v>554919734</v>
      </c>
      <c r="C443" s="7" t="s">
        <v>254</v>
      </c>
      <c r="D443" s="7">
        <v>81109801738</v>
      </c>
      <c r="E443" s="7" t="s">
        <v>255</v>
      </c>
      <c r="F443" s="2">
        <f>VLOOKUP(E443,'M10B Order'!B:G,6,FALSE)</f>
        <v>0</v>
      </c>
    </row>
    <row r="444" spans="1:6" x14ac:dyDescent="0.2">
      <c r="A444" s="7" t="s">
        <v>365</v>
      </c>
      <c r="B444" s="7">
        <v>554919582</v>
      </c>
      <c r="C444" s="7" t="s">
        <v>134</v>
      </c>
      <c r="D444" s="7">
        <v>81109801972</v>
      </c>
      <c r="E444" s="7" t="s">
        <v>135</v>
      </c>
      <c r="F444" s="2">
        <f>VLOOKUP(E444,'M10B Order'!B:G,6,FALSE)</f>
        <v>0</v>
      </c>
    </row>
    <row r="445" spans="1:6" x14ac:dyDescent="0.2">
      <c r="A445" s="7" t="s">
        <v>365</v>
      </c>
      <c r="B445" s="7">
        <v>554919814</v>
      </c>
      <c r="C445" s="7" t="s">
        <v>226</v>
      </c>
      <c r="D445" s="7">
        <v>81109801767</v>
      </c>
      <c r="E445" s="7" t="s">
        <v>227</v>
      </c>
      <c r="F445" s="2">
        <f>VLOOKUP(E445,'M10B Order'!B:G,6,FALSE)</f>
        <v>0</v>
      </c>
    </row>
    <row r="446" spans="1:6" x14ac:dyDescent="0.2">
      <c r="A446" s="7" t="s">
        <v>365</v>
      </c>
      <c r="B446" s="7">
        <v>554919823</v>
      </c>
      <c r="C446" s="7" t="s">
        <v>267</v>
      </c>
      <c r="D446" s="7">
        <v>81109801770</v>
      </c>
      <c r="E446" s="7" t="s">
        <v>268</v>
      </c>
      <c r="F446" s="2">
        <f>VLOOKUP(E446,'M10B Order'!B:G,6,FALSE)</f>
        <v>0</v>
      </c>
    </row>
    <row r="447" spans="1:6" x14ac:dyDescent="0.2">
      <c r="A447" s="7" t="s">
        <v>365</v>
      </c>
      <c r="B447" s="7">
        <v>554919820</v>
      </c>
      <c r="C447" s="7" t="s">
        <v>158</v>
      </c>
      <c r="D447" s="7">
        <v>81109801769</v>
      </c>
      <c r="E447" s="7" t="s">
        <v>159</v>
      </c>
      <c r="F447" s="2">
        <f>VLOOKUP(E447,'M10B Order'!B:G,6,FALSE)</f>
        <v>0</v>
      </c>
    </row>
    <row r="448" spans="1:6" x14ac:dyDescent="0.2">
      <c r="A448" s="7" t="s">
        <v>365</v>
      </c>
      <c r="B448" s="7">
        <v>554919809</v>
      </c>
      <c r="C448" s="7" t="s">
        <v>10</v>
      </c>
      <c r="D448" s="7">
        <v>81109801765</v>
      </c>
      <c r="E448" s="7" t="s">
        <v>11</v>
      </c>
      <c r="F448" s="2">
        <f>VLOOKUP(E448,'M10B Order'!B:G,6,FALSE)</f>
        <v>0</v>
      </c>
    </row>
    <row r="449" spans="1:6" x14ac:dyDescent="0.2">
      <c r="A449" s="7" t="s">
        <v>365</v>
      </c>
      <c r="B449" s="7">
        <v>554919690</v>
      </c>
      <c r="C449" s="7" t="s">
        <v>22</v>
      </c>
      <c r="D449" s="7">
        <v>81109801720</v>
      </c>
      <c r="E449" s="7" t="s">
        <v>23</v>
      </c>
      <c r="F449" s="2">
        <f>VLOOKUP(E449,'M10B Order'!B:G,6,FALSE)</f>
        <v>0</v>
      </c>
    </row>
    <row r="450" spans="1:6" x14ac:dyDescent="0.2">
      <c r="A450" s="7" t="s">
        <v>365</v>
      </c>
      <c r="B450" s="7">
        <v>554919877</v>
      </c>
      <c r="C450" s="7" t="s">
        <v>6</v>
      </c>
      <c r="D450" s="7">
        <v>81109801797</v>
      </c>
      <c r="E450" s="7" t="s">
        <v>7</v>
      </c>
      <c r="F450" s="2">
        <f>VLOOKUP(E450,'M10B Order'!B:G,6,FALSE)</f>
        <v>0</v>
      </c>
    </row>
    <row r="451" spans="1:6" x14ac:dyDescent="0.2">
      <c r="A451" s="7" t="s">
        <v>365</v>
      </c>
      <c r="B451" s="7">
        <v>554919812</v>
      </c>
      <c r="C451" s="7" t="s">
        <v>211</v>
      </c>
      <c r="D451" s="7">
        <v>81109801766</v>
      </c>
      <c r="E451" s="7" t="s">
        <v>212</v>
      </c>
      <c r="F451" s="2">
        <f>VLOOKUP(E451,'M10B Order'!B:G,6,FALSE)</f>
        <v>0</v>
      </c>
    </row>
    <row r="452" spans="1:6" x14ac:dyDescent="0.2">
      <c r="A452" s="7" t="s">
        <v>365</v>
      </c>
      <c r="B452" s="7">
        <v>554919923</v>
      </c>
      <c r="C452" s="7" t="s">
        <v>299</v>
      </c>
      <c r="D452" s="7">
        <v>81109801845</v>
      </c>
      <c r="E452" s="7" t="s">
        <v>300</v>
      </c>
      <c r="F452" s="2">
        <f>VLOOKUP(E452,'M10B Order'!B:G,6,FALSE)</f>
        <v>0</v>
      </c>
    </row>
    <row r="453" spans="1:6" x14ac:dyDescent="0.2">
      <c r="A453" s="7" t="s">
        <v>365</v>
      </c>
      <c r="B453" s="7">
        <v>554919905</v>
      </c>
      <c r="C453" s="7" t="s">
        <v>199</v>
      </c>
      <c r="D453" s="7">
        <v>81109801826</v>
      </c>
      <c r="E453" s="7" t="s">
        <v>200</v>
      </c>
      <c r="F453" s="2">
        <f>VLOOKUP(E453,'M10B Order'!B:G,6,FALSE)</f>
        <v>0</v>
      </c>
    </row>
    <row r="454" spans="1:6" x14ac:dyDescent="0.2">
      <c r="A454" s="7" t="s">
        <v>365</v>
      </c>
      <c r="B454" s="7">
        <v>554919919</v>
      </c>
      <c r="C454" s="7" t="s">
        <v>349</v>
      </c>
      <c r="D454" s="7">
        <v>81109801842</v>
      </c>
      <c r="E454" s="7" t="s">
        <v>350</v>
      </c>
      <c r="F454" s="2">
        <f>VLOOKUP(E454,'M10B Order'!B:G,6,FALSE)</f>
        <v>0</v>
      </c>
    </row>
    <row r="455" spans="1:6" x14ac:dyDescent="0.2">
      <c r="A455" s="7" t="s">
        <v>365</v>
      </c>
      <c r="B455" s="7">
        <v>554919685</v>
      </c>
      <c r="C455" s="7" t="s">
        <v>4</v>
      </c>
      <c r="D455" s="7">
        <v>81109801718</v>
      </c>
      <c r="E455" s="7" t="s">
        <v>5</v>
      </c>
      <c r="F455" s="2">
        <f>VLOOKUP(E455,'M10B Order'!B:G,6,FALSE)</f>
        <v>0</v>
      </c>
    </row>
    <row r="456" spans="1:6" x14ac:dyDescent="0.2">
      <c r="A456" s="7" t="s">
        <v>485</v>
      </c>
      <c r="B456" s="7">
        <v>558137536</v>
      </c>
      <c r="C456" s="7" t="s">
        <v>490</v>
      </c>
      <c r="D456" s="7">
        <v>81446902794</v>
      </c>
      <c r="E456" s="7" t="s">
        <v>491</v>
      </c>
      <c r="F456" s="2">
        <f>VLOOKUP(E456,'M10B Order'!B:G,6,FALSE)</f>
        <v>0</v>
      </c>
    </row>
    <row r="457" spans="1:6" x14ac:dyDescent="0.2">
      <c r="A457" s="7" t="s">
        <v>365</v>
      </c>
      <c r="B457" s="7">
        <v>554919702</v>
      </c>
      <c r="C457" s="7" t="s">
        <v>16</v>
      </c>
      <c r="D457" s="7">
        <v>81109801724</v>
      </c>
      <c r="E457" s="7" t="s">
        <v>17</v>
      </c>
      <c r="F457" s="2">
        <f>VLOOKUP(E457,'M10B Order'!B:G,6,FALSE)</f>
        <v>0</v>
      </c>
    </row>
    <row r="458" spans="1:6" x14ac:dyDescent="0.2">
      <c r="A458" s="7" t="s">
        <v>485</v>
      </c>
      <c r="B458" s="7">
        <v>558137555</v>
      </c>
      <c r="C458" s="7" t="s">
        <v>486</v>
      </c>
      <c r="D458" s="7">
        <v>81446902778</v>
      </c>
      <c r="E458" s="7" t="s">
        <v>487</v>
      </c>
      <c r="F458" s="2">
        <f>VLOOKUP(E458,'M10B Order'!B:G,6,FALSE)</f>
        <v>0</v>
      </c>
    </row>
    <row r="459" spans="1:6" x14ac:dyDescent="0.2">
      <c r="A459" s="7" t="s">
        <v>485</v>
      </c>
      <c r="B459" s="7">
        <v>558137570</v>
      </c>
      <c r="C459" s="7" t="s">
        <v>488</v>
      </c>
      <c r="D459" s="7">
        <v>81446902780</v>
      </c>
      <c r="E459" s="7" t="s">
        <v>489</v>
      </c>
      <c r="F459" s="2">
        <f>VLOOKUP(E459,'M10B Order'!B:G,6,FALSE)</f>
        <v>0</v>
      </c>
    </row>
    <row r="460" spans="1:6" x14ac:dyDescent="0.2">
      <c r="A460" s="7" t="s">
        <v>1147</v>
      </c>
      <c r="B460" s="7">
        <v>579058166</v>
      </c>
      <c r="C460" s="7" t="s">
        <v>1149</v>
      </c>
      <c r="D460" s="7">
        <v>81000139858</v>
      </c>
      <c r="E460" s="7" t="s">
        <v>1148</v>
      </c>
      <c r="F460" s="2">
        <f>VLOOKUP(E460,'M10B Order'!B:G,6,FALSE)</f>
        <v>0</v>
      </c>
    </row>
    <row r="461" spans="1:6" x14ac:dyDescent="0.2">
      <c r="A461" s="7" t="s">
        <v>1147</v>
      </c>
      <c r="B461" s="7">
        <v>579058150</v>
      </c>
      <c r="C461" s="7" t="s">
        <v>1151</v>
      </c>
      <c r="D461" s="7">
        <v>81000139857</v>
      </c>
      <c r="E461" s="7" t="s">
        <v>1150</v>
      </c>
      <c r="F461" s="2">
        <f>VLOOKUP(E461,'M10B Order'!B:G,6,FALSE)</f>
        <v>0</v>
      </c>
    </row>
    <row r="462" spans="1:6" x14ac:dyDescent="0.2">
      <c r="A462" s="7" t="s">
        <v>1147</v>
      </c>
      <c r="B462" s="7">
        <v>579058176</v>
      </c>
      <c r="C462" s="7" t="s">
        <v>1153</v>
      </c>
      <c r="D462" s="7">
        <v>81000139856</v>
      </c>
      <c r="E462" s="7" t="s">
        <v>1152</v>
      </c>
      <c r="F462" s="2">
        <f>VLOOKUP(E462,'M10B Order'!B:G,6,FALSE)</f>
        <v>0</v>
      </c>
    </row>
    <row r="463" spans="1:6" x14ac:dyDescent="0.2">
      <c r="A463" s="7" t="s">
        <v>763</v>
      </c>
      <c r="B463" s="7">
        <v>573626572</v>
      </c>
      <c r="C463" s="7" t="s">
        <v>771</v>
      </c>
      <c r="D463" s="7">
        <v>81000139179</v>
      </c>
      <c r="E463" s="7" t="s">
        <v>770</v>
      </c>
      <c r="F463" s="2">
        <f>VLOOKUP(E463,'M10B Order'!B:G,6,FALSE)</f>
        <v>0</v>
      </c>
    </row>
    <row r="464" spans="1:6" x14ac:dyDescent="0.2">
      <c r="A464" s="7" t="s">
        <v>763</v>
      </c>
      <c r="B464" s="7">
        <v>573626582</v>
      </c>
      <c r="C464" s="7" t="s">
        <v>769</v>
      </c>
      <c r="D464" s="7">
        <v>81000139181</v>
      </c>
      <c r="E464" s="7" t="s">
        <v>768</v>
      </c>
      <c r="F464" s="2">
        <f>VLOOKUP(E464,'M10B Order'!B:G,6,FALSE)</f>
        <v>0</v>
      </c>
    </row>
    <row r="465" spans="1:6" x14ac:dyDescent="0.2">
      <c r="A465" s="7" t="s">
        <v>763</v>
      </c>
      <c r="B465" s="7">
        <v>573626590</v>
      </c>
      <c r="C465" s="7" t="s">
        <v>767</v>
      </c>
      <c r="D465" s="7">
        <v>81000139180</v>
      </c>
      <c r="E465" s="7" t="s">
        <v>766</v>
      </c>
      <c r="F465" s="2">
        <f>VLOOKUP(E465,'M10B Order'!B:G,6,FALSE)</f>
        <v>0</v>
      </c>
    </row>
    <row r="466" spans="1:6" x14ac:dyDescent="0.2">
      <c r="A466" s="7" t="s">
        <v>763</v>
      </c>
      <c r="B466" s="7">
        <v>573626514</v>
      </c>
      <c r="C466" s="7" t="s">
        <v>765</v>
      </c>
      <c r="D466" s="7">
        <v>81000139178</v>
      </c>
      <c r="E466" s="7" t="s">
        <v>764</v>
      </c>
      <c r="F466" s="2">
        <f>VLOOKUP(E466,'M10B Order'!B:G,6,FALSE)</f>
        <v>0</v>
      </c>
    </row>
    <row r="467" spans="1:6" x14ac:dyDescent="0.2">
      <c r="A467" s="7" t="s">
        <v>1687</v>
      </c>
      <c r="B467" s="7">
        <v>584323901</v>
      </c>
      <c r="C467" s="7" t="s">
        <v>1689</v>
      </c>
      <c r="D467" s="7">
        <v>81004033418</v>
      </c>
      <c r="E467" s="7" t="s">
        <v>1688</v>
      </c>
      <c r="F467" s="2">
        <f>VLOOKUP(E467,'M10B Order'!B:G,6,FALSE)</f>
        <v>0</v>
      </c>
    </row>
    <row r="468" spans="1:6" x14ac:dyDescent="0.2">
      <c r="A468" s="7" t="s">
        <v>1687</v>
      </c>
      <c r="B468" s="7">
        <v>584323907</v>
      </c>
      <c r="C468" s="7" t="s">
        <v>1691</v>
      </c>
      <c r="D468" s="7">
        <v>81004033417</v>
      </c>
      <c r="E468" s="7" t="s">
        <v>1690</v>
      </c>
      <c r="F468" s="2">
        <f>VLOOKUP(E468,'M10B Order'!B:G,6,FALSE)</f>
        <v>0</v>
      </c>
    </row>
    <row r="469" spans="1:6" x14ac:dyDescent="0.2">
      <c r="A469" s="7" t="s">
        <v>1687</v>
      </c>
      <c r="B469" s="7">
        <v>584323910</v>
      </c>
      <c r="C469" s="7" t="s">
        <v>1703</v>
      </c>
      <c r="D469" s="7">
        <v>81004033408</v>
      </c>
      <c r="E469" s="7" t="s">
        <v>1702</v>
      </c>
      <c r="F469" s="2">
        <f>VLOOKUP(E469,'M10B Order'!B:G,6,FALSE)</f>
        <v>0</v>
      </c>
    </row>
    <row r="470" spans="1:6" x14ac:dyDescent="0.2">
      <c r="A470" s="7" t="s">
        <v>1687</v>
      </c>
      <c r="B470" s="7">
        <v>584323905</v>
      </c>
      <c r="C470" s="7" t="s">
        <v>1709</v>
      </c>
      <c r="D470" s="7">
        <v>81004033415</v>
      </c>
      <c r="E470" s="7" t="s">
        <v>1708</v>
      </c>
      <c r="F470" s="2">
        <f>VLOOKUP(E470,'M10B Order'!B:G,6,FALSE)</f>
        <v>0</v>
      </c>
    </row>
    <row r="471" spans="1:6" x14ac:dyDescent="0.2">
      <c r="A471" s="7" t="s">
        <v>1687</v>
      </c>
      <c r="B471" s="7">
        <v>584323912</v>
      </c>
      <c r="C471" s="7" t="s">
        <v>1713</v>
      </c>
      <c r="D471" s="7">
        <v>81004033419</v>
      </c>
      <c r="E471" s="7" t="s">
        <v>1712</v>
      </c>
      <c r="F471" s="2">
        <f>VLOOKUP(E471,'M10B Order'!B:G,6,FALSE)</f>
        <v>0</v>
      </c>
    </row>
    <row r="472" spans="1:6" x14ac:dyDescent="0.2">
      <c r="A472" s="7" t="s">
        <v>1687</v>
      </c>
      <c r="B472" s="7">
        <v>584323909</v>
      </c>
      <c r="C472" s="7" t="s">
        <v>1717</v>
      </c>
      <c r="D472" s="7">
        <v>81004033407</v>
      </c>
      <c r="E472" s="7" t="s">
        <v>1716</v>
      </c>
      <c r="F472" s="2">
        <f>VLOOKUP(E472,'M10B Order'!B:G,6,FALSE)</f>
        <v>0</v>
      </c>
    </row>
    <row r="473" spans="1:6" x14ac:dyDescent="0.2">
      <c r="A473" s="7" t="s">
        <v>1718</v>
      </c>
      <c r="B473" s="7">
        <v>581933047</v>
      </c>
      <c r="C473" s="7" t="s">
        <v>1727</v>
      </c>
      <c r="D473" s="7">
        <v>81004033129</v>
      </c>
      <c r="E473" s="7" t="s">
        <v>1726</v>
      </c>
      <c r="F473" s="2">
        <f>VLOOKUP(E473,'M10B Order'!B:G,6,FALSE)</f>
        <v>0</v>
      </c>
    </row>
    <row r="474" spans="1:6" x14ac:dyDescent="0.2">
      <c r="A474" s="7" t="s">
        <v>1718</v>
      </c>
      <c r="B474" s="7">
        <v>581933046</v>
      </c>
      <c r="C474" s="7" t="s">
        <v>1729</v>
      </c>
      <c r="D474" s="7">
        <v>81004033127</v>
      </c>
      <c r="E474" s="7" t="s">
        <v>1728</v>
      </c>
      <c r="F474" s="2">
        <f>VLOOKUP(E474,'M10B Order'!B:G,6,FALSE)</f>
        <v>0</v>
      </c>
    </row>
    <row r="475" spans="1:6" x14ac:dyDescent="0.2">
      <c r="A475" s="7" t="s">
        <v>1718</v>
      </c>
      <c r="B475" s="7">
        <v>581933045</v>
      </c>
      <c r="C475" s="7" t="s">
        <v>1731</v>
      </c>
      <c r="D475" s="7">
        <v>81004033126</v>
      </c>
      <c r="E475" s="7" t="s">
        <v>1730</v>
      </c>
      <c r="F475" s="2">
        <f>VLOOKUP(E475,'M10B Order'!B:G,6,FALSE)</f>
        <v>0</v>
      </c>
    </row>
    <row r="476" spans="1:6" x14ac:dyDescent="0.2">
      <c r="A476" s="7" t="s">
        <v>1718</v>
      </c>
      <c r="B476" s="7">
        <v>581933043</v>
      </c>
      <c r="C476" s="7" t="s">
        <v>1733</v>
      </c>
      <c r="D476" s="7">
        <v>81004033130</v>
      </c>
      <c r="E476" s="7" t="s">
        <v>1732</v>
      </c>
      <c r="F476" s="2">
        <f>VLOOKUP(E476,'M10B Order'!B:G,6,FALSE)</f>
        <v>0</v>
      </c>
    </row>
    <row r="477" spans="1:6" x14ac:dyDescent="0.2">
      <c r="A477" s="7" t="s">
        <v>1718</v>
      </c>
      <c r="B477" s="7">
        <v>581933036</v>
      </c>
      <c r="C477" s="7" t="s">
        <v>1735</v>
      </c>
      <c r="D477" s="7">
        <v>81004033133</v>
      </c>
      <c r="E477" s="7" t="s">
        <v>1734</v>
      </c>
      <c r="F477" s="2">
        <f>VLOOKUP(E477,'M10B Order'!B:G,6,FALSE)</f>
        <v>0</v>
      </c>
    </row>
    <row r="478" spans="1:6" x14ac:dyDescent="0.2">
      <c r="A478" s="7" t="s">
        <v>1718</v>
      </c>
      <c r="B478" s="7">
        <v>581933039</v>
      </c>
      <c r="C478" s="7" t="s">
        <v>1737</v>
      </c>
      <c r="D478" s="7">
        <v>81004033132</v>
      </c>
      <c r="E478" s="7" t="s">
        <v>1736</v>
      </c>
      <c r="F478" s="2">
        <f>VLOOKUP(E478,'M10B Order'!B:G,6,FALSE)</f>
        <v>0</v>
      </c>
    </row>
    <row r="479" spans="1:6" x14ac:dyDescent="0.2">
      <c r="A479" s="7" t="s">
        <v>1718</v>
      </c>
      <c r="B479" s="7">
        <v>581933037</v>
      </c>
      <c r="C479" s="7" t="s">
        <v>1739</v>
      </c>
      <c r="D479" s="7">
        <v>81004033131</v>
      </c>
      <c r="E479" s="7" t="s">
        <v>1738</v>
      </c>
      <c r="F479" s="2">
        <f>VLOOKUP(E479,'M10B Order'!B:G,6,FALSE)</f>
        <v>0</v>
      </c>
    </row>
    <row r="480" spans="1:6" x14ac:dyDescent="0.2">
      <c r="A480" s="7" t="s">
        <v>1718</v>
      </c>
      <c r="B480" s="7">
        <v>581933048</v>
      </c>
      <c r="C480" s="7" t="s">
        <v>1741</v>
      </c>
      <c r="D480" s="7">
        <v>81004033134</v>
      </c>
      <c r="E480" s="7" t="s">
        <v>1740</v>
      </c>
      <c r="F480" s="2">
        <f>VLOOKUP(E480,'M10B Order'!B:G,6,FALSE)</f>
        <v>0</v>
      </c>
    </row>
    <row r="481" spans="1:8" x14ac:dyDescent="0.2">
      <c r="A481" s="7" t="s">
        <v>1718</v>
      </c>
      <c r="B481" s="7">
        <v>581933042</v>
      </c>
      <c r="C481" s="7" t="s">
        <v>1747</v>
      </c>
      <c r="D481" s="7">
        <v>81004033128</v>
      </c>
      <c r="E481" s="7" t="s">
        <v>1746</v>
      </c>
      <c r="F481" s="2">
        <f>VLOOKUP(E481,'M10B Order'!B:G,6,FALSE)</f>
        <v>0</v>
      </c>
    </row>
    <row r="482" spans="1:8" s="1" customFormat="1" x14ac:dyDescent="0.2">
      <c r="A482" s="3" t="s">
        <v>364</v>
      </c>
      <c r="B482" s="1">
        <v>554919602</v>
      </c>
      <c r="C482" s="1" t="s">
        <v>110</v>
      </c>
      <c r="D482" s="10">
        <v>81109801979</v>
      </c>
      <c r="E482" s="1" t="s">
        <v>111</v>
      </c>
      <c r="F482" s="2">
        <f>VLOOKUP(E482,'M10B Order'!B:G,6,FALSE)</f>
        <v>0</v>
      </c>
      <c r="G482" s="7"/>
      <c r="H482" s="7"/>
    </row>
    <row r="483" spans="1:8" s="1" customFormat="1" x14ac:dyDescent="0.2">
      <c r="A483" s="3" t="s">
        <v>364</v>
      </c>
      <c r="B483" s="1">
        <v>554919950</v>
      </c>
      <c r="C483" s="1" t="s">
        <v>215</v>
      </c>
      <c r="D483" s="10">
        <v>81109801876</v>
      </c>
      <c r="E483" s="1" t="s">
        <v>216</v>
      </c>
      <c r="F483" s="2">
        <f>VLOOKUP(E483,'M10B Order'!B:G,6,FALSE)</f>
        <v>0</v>
      </c>
      <c r="G483" s="7"/>
      <c r="H483" s="7"/>
    </row>
    <row r="484" spans="1:8" s="1" customFormat="1" x14ac:dyDescent="0.2">
      <c r="A484" s="3" t="s">
        <v>364</v>
      </c>
      <c r="B484" s="1">
        <v>554919903</v>
      </c>
      <c r="C484" s="1" t="s">
        <v>142</v>
      </c>
      <c r="D484" s="10">
        <v>81109801824</v>
      </c>
      <c r="E484" s="1" t="s">
        <v>143</v>
      </c>
      <c r="F484" s="2">
        <f>VLOOKUP(E484,'M10B Order'!B:G,6,FALSE)</f>
        <v>0</v>
      </c>
      <c r="G484" s="7"/>
      <c r="H484" s="7"/>
    </row>
    <row r="485" spans="1:8" s="1" customFormat="1" x14ac:dyDescent="0.2">
      <c r="A485" s="3" t="s">
        <v>364</v>
      </c>
      <c r="B485" s="1">
        <v>554919882</v>
      </c>
      <c r="C485" s="1" t="s">
        <v>166</v>
      </c>
      <c r="D485" s="10">
        <v>81109801802</v>
      </c>
      <c r="E485" s="1" t="s">
        <v>167</v>
      </c>
      <c r="F485" s="2">
        <f>VLOOKUP(E485,'M10B Order'!B:G,6,FALSE)</f>
        <v>0</v>
      </c>
      <c r="G485" s="7"/>
      <c r="H485" s="7"/>
    </row>
    <row r="486" spans="1:8" s="1" customFormat="1" x14ac:dyDescent="0.2">
      <c r="A486" s="3" t="s">
        <v>364</v>
      </c>
      <c r="B486" s="1">
        <v>554919897</v>
      </c>
      <c r="C486" s="1" t="s">
        <v>191</v>
      </c>
      <c r="D486" s="10">
        <v>81109801817</v>
      </c>
      <c r="E486" s="1" t="s">
        <v>192</v>
      </c>
      <c r="F486" s="2">
        <f>VLOOKUP(E486,'M10B Order'!B:G,6,FALSE)</f>
        <v>0</v>
      </c>
      <c r="G486" s="7"/>
      <c r="H486" s="7"/>
    </row>
    <row r="487" spans="1:8" s="1" customFormat="1" x14ac:dyDescent="0.2">
      <c r="A487" s="3" t="s">
        <v>364</v>
      </c>
      <c r="B487" s="1">
        <v>554919935</v>
      </c>
      <c r="C487" s="1" t="s">
        <v>116</v>
      </c>
      <c r="D487" s="10">
        <v>81109801858</v>
      </c>
      <c r="E487" s="1" t="s">
        <v>117</v>
      </c>
      <c r="F487" s="2">
        <f>VLOOKUP(E487,'M10B Order'!B:G,6,FALSE)</f>
        <v>0</v>
      </c>
      <c r="G487" s="7"/>
      <c r="H487" s="7"/>
    </row>
    <row r="488" spans="1:8" s="1" customFormat="1" x14ac:dyDescent="0.2">
      <c r="A488" s="3" t="s">
        <v>364</v>
      </c>
      <c r="B488" s="1">
        <v>554919913</v>
      </c>
      <c r="C488" s="1" t="s">
        <v>106</v>
      </c>
      <c r="D488" s="10">
        <v>81109801836</v>
      </c>
      <c r="E488" s="1" t="s">
        <v>107</v>
      </c>
      <c r="F488" s="2">
        <f>VLOOKUP(E488,'M10B Order'!B:G,6,FALSE)</f>
        <v>0</v>
      </c>
      <c r="G488" s="7"/>
      <c r="H488" s="7"/>
    </row>
    <row r="489" spans="1:8" s="1" customFormat="1" x14ac:dyDescent="0.2">
      <c r="A489" s="3" t="s">
        <v>364</v>
      </c>
      <c r="B489" s="1">
        <v>554919910</v>
      </c>
      <c r="C489" s="1" t="s">
        <v>219</v>
      </c>
      <c r="D489" s="10">
        <v>81109801833</v>
      </c>
      <c r="E489" s="1" t="s">
        <v>220</v>
      </c>
      <c r="F489" s="2">
        <f>VLOOKUP(E489,'M10B Order'!B:G,6,FALSE)</f>
        <v>0</v>
      </c>
      <c r="G489" s="7"/>
      <c r="H489" s="7"/>
    </row>
    <row r="490" spans="1:8" s="1" customFormat="1" x14ac:dyDescent="0.2">
      <c r="A490" s="3" t="s">
        <v>364</v>
      </c>
      <c r="B490" s="1">
        <v>554919573</v>
      </c>
      <c r="C490" s="1" t="s">
        <v>232</v>
      </c>
      <c r="D490" s="10">
        <v>81109801969</v>
      </c>
      <c r="E490" s="1" t="s">
        <v>233</v>
      </c>
      <c r="F490" s="2">
        <f>VLOOKUP(E490,'M10B Order'!B:G,6,FALSE)</f>
        <v>0</v>
      </c>
      <c r="G490" s="7"/>
      <c r="H490" s="7"/>
    </row>
    <row r="491" spans="1:8" s="1" customFormat="1" x14ac:dyDescent="0.2">
      <c r="A491" s="3" t="s">
        <v>364</v>
      </c>
      <c r="B491" s="1">
        <v>554919476</v>
      </c>
      <c r="C491" s="1" t="s">
        <v>140</v>
      </c>
      <c r="D491" s="10">
        <v>81109801882</v>
      </c>
      <c r="E491" s="1" t="s">
        <v>141</v>
      </c>
      <c r="F491" s="2">
        <f>VLOOKUP(E491,'M10B Order'!B:G,6,FALSE)</f>
        <v>0</v>
      </c>
      <c r="G491" s="7"/>
      <c r="H491" s="7"/>
    </row>
    <row r="492" spans="1:8" s="1" customFormat="1" x14ac:dyDescent="0.2">
      <c r="A492" s="3" t="s">
        <v>364</v>
      </c>
      <c r="B492" s="1">
        <v>554919948</v>
      </c>
      <c r="C492" s="1" t="s">
        <v>189</v>
      </c>
      <c r="D492" s="10">
        <v>81109801873</v>
      </c>
      <c r="E492" s="1" t="s">
        <v>190</v>
      </c>
      <c r="F492" s="2">
        <f>VLOOKUP(E492,'M10B Order'!B:G,6,FALSE)</f>
        <v>0</v>
      </c>
      <c r="G492" s="7"/>
      <c r="H492" s="7"/>
    </row>
    <row r="493" spans="1:8" s="1" customFormat="1" x14ac:dyDescent="0.2">
      <c r="A493" s="3" t="s">
        <v>364</v>
      </c>
      <c r="B493" s="1">
        <v>554919936</v>
      </c>
      <c r="C493" s="1" t="s">
        <v>242</v>
      </c>
      <c r="D493" s="10">
        <v>81109801860</v>
      </c>
      <c r="E493" s="1" t="s">
        <v>243</v>
      </c>
      <c r="F493" s="2">
        <f>VLOOKUP(E493,'M10B Order'!B:G,6,FALSE)</f>
        <v>0</v>
      </c>
      <c r="G493" s="7"/>
      <c r="H493" s="7"/>
    </row>
    <row r="494" spans="1:8" s="1" customFormat="1" x14ac:dyDescent="0.2">
      <c r="A494" s="3" t="s">
        <v>364</v>
      </c>
      <c r="B494" s="1">
        <v>554919883</v>
      </c>
      <c r="C494" s="1" t="s">
        <v>126</v>
      </c>
      <c r="D494" s="10">
        <v>81109801803</v>
      </c>
      <c r="E494" s="1" t="s">
        <v>127</v>
      </c>
      <c r="F494" s="2">
        <f>VLOOKUP(E494,'M10B Order'!B:G,6,FALSE)</f>
        <v>0</v>
      </c>
      <c r="G494" s="7"/>
      <c r="H494" s="7"/>
    </row>
    <row r="495" spans="1:8" s="1" customFormat="1" x14ac:dyDescent="0.2">
      <c r="A495" s="3" t="s">
        <v>364</v>
      </c>
      <c r="B495" s="1">
        <v>554919912</v>
      </c>
      <c r="C495" s="1" t="s">
        <v>146</v>
      </c>
      <c r="D495" s="10">
        <v>81109801835</v>
      </c>
      <c r="E495" s="1" t="s">
        <v>147</v>
      </c>
      <c r="F495" s="2">
        <f>VLOOKUP(E495,'M10B Order'!B:G,6,FALSE)</f>
        <v>0</v>
      </c>
      <c r="G495" s="7"/>
      <c r="H495" s="7"/>
    </row>
    <row r="496" spans="1:8" s="1" customFormat="1" x14ac:dyDescent="0.2">
      <c r="A496" s="3" t="s">
        <v>364</v>
      </c>
      <c r="B496" s="1">
        <v>554919483</v>
      </c>
      <c r="C496" s="1" t="s">
        <v>102</v>
      </c>
      <c r="D496" s="10">
        <v>81109801884</v>
      </c>
      <c r="E496" s="1" t="s">
        <v>103</v>
      </c>
      <c r="F496" s="2">
        <f>VLOOKUP(E496,'M10B Order'!B:G,6,FALSE)</f>
        <v>0</v>
      </c>
      <c r="G496" s="7"/>
      <c r="H496" s="7"/>
    </row>
    <row r="497" spans="1:8" s="1" customFormat="1" x14ac:dyDescent="0.2">
      <c r="A497" s="3" t="s">
        <v>364</v>
      </c>
      <c r="B497" s="1">
        <v>554919907</v>
      </c>
      <c r="C497" s="1" t="s">
        <v>275</v>
      </c>
      <c r="D497" s="10">
        <v>81109801829</v>
      </c>
      <c r="E497" s="1" t="s">
        <v>276</v>
      </c>
      <c r="F497" s="2">
        <f>VLOOKUP(E497,'M10B Order'!B:G,6,FALSE)</f>
        <v>0</v>
      </c>
      <c r="G497" s="7"/>
      <c r="H497" s="7"/>
    </row>
    <row r="498" spans="1:8" s="1" customFormat="1" x14ac:dyDescent="0.2">
      <c r="A498" s="3" t="s">
        <v>364</v>
      </c>
      <c r="B498" s="1">
        <v>554919927</v>
      </c>
      <c r="C498" s="1" t="s">
        <v>168</v>
      </c>
      <c r="D498" s="10">
        <v>81109801850</v>
      </c>
      <c r="E498" s="1" t="s">
        <v>169</v>
      </c>
      <c r="F498" s="2">
        <f>VLOOKUP(E498,'M10B Order'!B:G,6,FALSE)</f>
        <v>0</v>
      </c>
      <c r="G498" s="7"/>
      <c r="H498" s="7"/>
    </row>
    <row r="499" spans="1:8" s="1" customFormat="1" x14ac:dyDescent="0.2">
      <c r="A499" s="3" t="s">
        <v>364</v>
      </c>
      <c r="B499" s="1">
        <v>554919928</v>
      </c>
      <c r="C499" s="1" t="s">
        <v>132</v>
      </c>
      <c r="D499" s="10">
        <v>81109801851</v>
      </c>
      <c r="E499" s="1" t="s">
        <v>133</v>
      </c>
      <c r="F499" s="2">
        <f>VLOOKUP(E499,'M10B Order'!B:G,6,FALSE)</f>
        <v>0</v>
      </c>
      <c r="G499" s="7"/>
      <c r="H499" s="7"/>
    </row>
    <row r="500" spans="1:8" s="1" customFormat="1" x14ac:dyDescent="0.2">
      <c r="A500" s="3" t="s">
        <v>364</v>
      </c>
      <c r="B500" s="1">
        <v>554919884</v>
      </c>
      <c r="C500" s="1" t="s">
        <v>130</v>
      </c>
      <c r="D500" s="10">
        <v>81109801804</v>
      </c>
      <c r="E500" s="1" t="s">
        <v>131</v>
      </c>
      <c r="F500" s="2">
        <f>VLOOKUP(E500,'M10B Order'!B:G,6,FALSE)</f>
        <v>0</v>
      </c>
      <c r="G500" s="7"/>
      <c r="H500" s="7"/>
    </row>
    <row r="501" spans="1:8" s="1" customFormat="1" x14ac:dyDescent="0.2">
      <c r="A501" s="3" t="s">
        <v>364</v>
      </c>
      <c r="B501" s="1">
        <v>554919517</v>
      </c>
      <c r="C501" s="1" t="s">
        <v>265</v>
      </c>
      <c r="D501" s="10">
        <v>81109801949</v>
      </c>
      <c r="E501" s="1" t="s">
        <v>266</v>
      </c>
      <c r="F501" s="2">
        <f>VLOOKUP(E501,'M10B Order'!B:G,6,FALSE)</f>
        <v>0</v>
      </c>
      <c r="G501" s="7"/>
      <c r="H501" s="7"/>
    </row>
    <row r="502" spans="1:8" s="1" customFormat="1" x14ac:dyDescent="0.2">
      <c r="A502" s="3" t="s">
        <v>364</v>
      </c>
      <c r="B502" s="1">
        <v>554919559</v>
      </c>
      <c r="C502" s="1" t="s">
        <v>236</v>
      </c>
      <c r="D502" s="10">
        <v>81109801964</v>
      </c>
      <c r="E502" s="1" t="s">
        <v>237</v>
      </c>
      <c r="F502" s="2">
        <f>VLOOKUP(E502,'M10B Order'!B:G,6,FALSE)</f>
        <v>0</v>
      </c>
      <c r="G502" s="7"/>
      <c r="H502" s="7"/>
    </row>
    <row r="503" spans="1:8" s="1" customFormat="1" x14ac:dyDescent="0.2">
      <c r="A503" s="1" t="s">
        <v>430</v>
      </c>
      <c r="B503" s="5">
        <v>555032651</v>
      </c>
      <c r="C503" s="5" t="s">
        <v>396</v>
      </c>
      <c r="D503" s="5">
        <v>81446902301</v>
      </c>
      <c r="E503" s="5" t="s">
        <v>395</v>
      </c>
      <c r="F503" s="2">
        <f>VLOOKUP(E503,'M10B Order'!B:G,6,FALSE)</f>
        <v>0</v>
      </c>
      <c r="G503" s="7"/>
      <c r="H503" s="7"/>
    </row>
    <row r="504" spans="1:8" s="1" customFormat="1" x14ac:dyDescent="0.2">
      <c r="A504" s="1" t="s">
        <v>430</v>
      </c>
      <c r="B504" s="5">
        <v>555032632</v>
      </c>
      <c r="C504" s="5" t="s">
        <v>394</v>
      </c>
      <c r="D504" s="5">
        <v>81446902297</v>
      </c>
      <c r="E504" s="5" t="s">
        <v>393</v>
      </c>
      <c r="F504" s="2">
        <f>VLOOKUP(E504,'M10B Order'!B:G,6,FALSE)</f>
        <v>0</v>
      </c>
      <c r="G504" s="7"/>
      <c r="H504" s="7"/>
    </row>
    <row r="505" spans="1:8" s="1" customFormat="1" x14ac:dyDescent="0.2">
      <c r="A505" s="1" t="s">
        <v>430</v>
      </c>
      <c r="B505" s="5">
        <v>555032691</v>
      </c>
      <c r="C505" s="5" t="s">
        <v>402</v>
      </c>
      <c r="D505" s="5">
        <v>81446902306</v>
      </c>
      <c r="E505" s="5" t="s">
        <v>401</v>
      </c>
      <c r="F505" s="2">
        <f>VLOOKUP(E505,'M10B Order'!B:G,6,FALSE)</f>
        <v>0</v>
      </c>
      <c r="G505" s="7"/>
      <c r="H505" s="7"/>
    </row>
    <row r="506" spans="1:8" s="1" customFormat="1" x14ac:dyDescent="0.2">
      <c r="A506" s="1" t="s">
        <v>430</v>
      </c>
      <c r="B506" s="5">
        <v>555032712</v>
      </c>
      <c r="C506" s="5" t="s">
        <v>404</v>
      </c>
      <c r="D506" s="5">
        <v>81446902312</v>
      </c>
      <c r="E506" s="5" t="s">
        <v>403</v>
      </c>
      <c r="F506" s="2">
        <f>VLOOKUP(E506,'M10B Order'!B:G,6,FALSE)</f>
        <v>0</v>
      </c>
      <c r="G506" s="7"/>
      <c r="H506" s="7"/>
    </row>
    <row r="507" spans="1:8" s="1" customFormat="1" x14ac:dyDescent="0.2">
      <c r="A507" s="1" t="s">
        <v>430</v>
      </c>
      <c r="B507" s="5">
        <v>555032599</v>
      </c>
      <c r="C507" s="5" t="s">
        <v>379</v>
      </c>
      <c r="D507" s="5">
        <v>81446902298</v>
      </c>
      <c r="E507" s="5" t="s">
        <v>378</v>
      </c>
      <c r="F507" s="2">
        <f>VLOOKUP(E507,'M10B Order'!B:G,6,FALSE)</f>
        <v>0</v>
      </c>
      <c r="G507" s="7"/>
      <c r="H507" s="7"/>
    </row>
    <row r="508" spans="1:8" s="1" customFormat="1" x14ac:dyDescent="0.2">
      <c r="A508" s="1" t="s">
        <v>430</v>
      </c>
      <c r="B508" s="5">
        <v>555048235</v>
      </c>
      <c r="C508" s="5" t="s">
        <v>392</v>
      </c>
      <c r="D508" s="5">
        <v>81446902295</v>
      </c>
      <c r="E508" s="5" t="s">
        <v>391</v>
      </c>
      <c r="F508" s="2">
        <f>VLOOKUP(E508,'M10B Order'!B:G,6,FALSE)</f>
        <v>0</v>
      </c>
      <c r="G508" s="7"/>
      <c r="H508" s="7"/>
    </row>
    <row r="509" spans="1:8" s="1" customFormat="1" x14ac:dyDescent="0.2">
      <c r="A509" s="3" t="s">
        <v>430</v>
      </c>
      <c r="B509" s="1">
        <v>555086370</v>
      </c>
      <c r="C509" s="1" t="s">
        <v>383</v>
      </c>
      <c r="D509" s="10">
        <v>81446902358</v>
      </c>
      <c r="E509" s="1" t="s">
        <v>382</v>
      </c>
      <c r="F509" s="2">
        <f>VLOOKUP(E509,'M10B Order'!B:G,6,FALSE)</f>
        <v>0</v>
      </c>
      <c r="G509" s="7"/>
      <c r="H509" s="7"/>
    </row>
    <row r="510" spans="1:8" s="1" customFormat="1" x14ac:dyDescent="0.2">
      <c r="A510" s="1" t="s">
        <v>430</v>
      </c>
      <c r="B510" s="5">
        <v>555032640</v>
      </c>
      <c r="C510" s="5" t="s">
        <v>381</v>
      </c>
      <c r="D510" s="5">
        <v>81446902299</v>
      </c>
      <c r="E510" s="5" t="s">
        <v>380</v>
      </c>
      <c r="F510" s="2">
        <f>VLOOKUP(E510,'M10B Order'!B:G,6,FALSE)</f>
        <v>0</v>
      </c>
      <c r="G510" s="7"/>
      <c r="H510" s="7"/>
    </row>
    <row r="511" spans="1:8" s="1" customFormat="1" x14ac:dyDescent="0.2">
      <c r="A511" s="1" t="s">
        <v>430</v>
      </c>
      <c r="B511" s="5">
        <v>555032685</v>
      </c>
      <c r="C511" s="5" t="s">
        <v>400</v>
      </c>
      <c r="D511" s="5">
        <v>81446902304</v>
      </c>
      <c r="E511" s="5" t="s">
        <v>399</v>
      </c>
      <c r="F511" s="2">
        <f>VLOOKUP(E511,'M10B Order'!B:G,6,FALSE)</f>
        <v>0</v>
      </c>
      <c r="G511" s="7"/>
      <c r="H511" s="7"/>
    </row>
    <row r="512" spans="1:8" s="1" customFormat="1" x14ac:dyDescent="0.2">
      <c r="A512" s="1" t="s">
        <v>430</v>
      </c>
      <c r="B512" s="5">
        <v>555032727</v>
      </c>
      <c r="C512" s="5" t="s">
        <v>388</v>
      </c>
      <c r="D512" s="5">
        <v>81446902314</v>
      </c>
      <c r="E512" s="5" t="s">
        <v>387</v>
      </c>
      <c r="F512" s="2">
        <f>VLOOKUP(E512,'M10B Order'!B:G,6,FALSE)</f>
        <v>0</v>
      </c>
      <c r="G512" s="7"/>
      <c r="H512" s="7"/>
    </row>
    <row r="513" spans="1:8" s="1" customFormat="1" x14ac:dyDescent="0.2">
      <c r="A513" s="1" t="s">
        <v>430</v>
      </c>
      <c r="B513" s="5">
        <v>555032720</v>
      </c>
      <c r="C513" s="5" t="s">
        <v>386</v>
      </c>
      <c r="D513" s="5">
        <v>81446902313</v>
      </c>
      <c r="E513" s="5" t="s">
        <v>385</v>
      </c>
      <c r="F513" s="2">
        <f>VLOOKUP(E513,'M10B Order'!B:G,6,FALSE)</f>
        <v>0</v>
      </c>
      <c r="G513" s="7"/>
      <c r="H513" s="7"/>
    </row>
    <row r="514" spans="1:8" x14ac:dyDescent="0.2">
      <c r="A514" s="7" t="s">
        <v>1937</v>
      </c>
      <c r="B514" s="7">
        <v>596528959</v>
      </c>
      <c r="C514" s="7" t="s">
        <v>1826</v>
      </c>
      <c r="D514" s="8">
        <v>81004033509</v>
      </c>
      <c r="E514" s="7" t="s">
        <v>1936</v>
      </c>
      <c r="F514" s="2">
        <f>VLOOKUP(E514,'M10B Order'!B:G,6,FALSE)</f>
        <v>0</v>
      </c>
    </row>
    <row r="515" spans="1:8" x14ac:dyDescent="0.2">
      <c r="A515" s="7" t="s">
        <v>1935</v>
      </c>
      <c r="B515" s="7">
        <v>587516728</v>
      </c>
      <c r="C515" s="7" t="s">
        <v>1824</v>
      </c>
      <c r="D515" s="7">
        <v>81004033369</v>
      </c>
      <c r="E515" s="7" t="s">
        <v>1823</v>
      </c>
      <c r="F515" s="2">
        <f>VLOOKUP(E515,'M10B Order'!B:G,6,FALSE)</f>
        <v>0</v>
      </c>
    </row>
    <row r="516" spans="1:8" x14ac:dyDescent="0.2">
      <c r="A516" s="7" t="s">
        <v>1830</v>
      </c>
      <c r="B516" s="7">
        <v>587520152</v>
      </c>
      <c r="C516" s="7" t="s">
        <v>1926</v>
      </c>
      <c r="D516" s="7">
        <v>81004033481</v>
      </c>
      <c r="E516" s="7" t="s">
        <v>1925</v>
      </c>
      <c r="F516" s="2">
        <f>VLOOKUP(E516,'M10B Order'!B:G,6,FALSE)</f>
        <v>0</v>
      </c>
    </row>
    <row r="517" spans="1:8" x14ac:dyDescent="0.2">
      <c r="A517" s="7" t="s">
        <v>1830</v>
      </c>
      <c r="B517" s="7">
        <v>587520146</v>
      </c>
      <c r="C517" s="7" t="s">
        <v>1924</v>
      </c>
      <c r="D517" s="7">
        <v>81004033480</v>
      </c>
      <c r="E517" s="7" t="s">
        <v>1923</v>
      </c>
      <c r="F517" s="2">
        <f>VLOOKUP(E517,'M10B Order'!B:G,6,FALSE)</f>
        <v>0</v>
      </c>
    </row>
    <row r="518" spans="1:8" x14ac:dyDescent="0.2">
      <c r="A518" s="7" t="s">
        <v>1830</v>
      </c>
      <c r="B518" s="7">
        <v>587520241</v>
      </c>
      <c r="C518" s="7" t="s">
        <v>1922</v>
      </c>
      <c r="D518" s="7">
        <v>81004033479</v>
      </c>
      <c r="E518" s="7" t="s">
        <v>1921</v>
      </c>
      <c r="F518" s="2">
        <f>VLOOKUP(E518,'M10B Order'!B:G,6,FALSE)</f>
        <v>0</v>
      </c>
    </row>
    <row r="519" spans="1:8" x14ac:dyDescent="0.2">
      <c r="A519" s="7" t="s">
        <v>1830</v>
      </c>
      <c r="B519" s="7">
        <v>587520151</v>
      </c>
      <c r="C519" s="7" t="s">
        <v>1920</v>
      </c>
      <c r="D519" s="7">
        <v>81004033478</v>
      </c>
      <c r="E519" s="7" t="s">
        <v>1919</v>
      </c>
      <c r="F519" s="2">
        <f>VLOOKUP(E519,'M10B Order'!B:G,6,FALSE)</f>
        <v>0</v>
      </c>
    </row>
    <row r="520" spans="1:8" x14ac:dyDescent="0.2">
      <c r="A520" s="7" t="s">
        <v>1830</v>
      </c>
      <c r="B520" s="7">
        <v>587520140</v>
      </c>
      <c r="C520" s="7" t="s">
        <v>1918</v>
      </c>
      <c r="D520" s="7">
        <v>81004033477</v>
      </c>
      <c r="E520" s="7" t="s">
        <v>1917</v>
      </c>
      <c r="F520" s="2">
        <f>VLOOKUP(E520,'M10B Order'!B:G,6,FALSE)</f>
        <v>0</v>
      </c>
    </row>
    <row r="521" spans="1:8" x14ac:dyDescent="0.2">
      <c r="A521" s="7" t="s">
        <v>1830</v>
      </c>
      <c r="B521" s="7">
        <v>587520150</v>
      </c>
      <c r="C521" s="7" t="s">
        <v>1916</v>
      </c>
      <c r="D521" s="7">
        <v>81004033476</v>
      </c>
      <c r="E521" s="7" t="s">
        <v>1915</v>
      </c>
      <c r="F521" s="2">
        <f>VLOOKUP(E521,'M10B Order'!B:G,6,FALSE)</f>
        <v>0</v>
      </c>
    </row>
    <row r="522" spans="1:8" x14ac:dyDescent="0.2">
      <c r="A522" s="7" t="s">
        <v>1830</v>
      </c>
      <c r="B522" s="7">
        <v>587520163</v>
      </c>
      <c r="C522" s="7" t="s">
        <v>1914</v>
      </c>
      <c r="D522" s="7">
        <v>81004033475</v>
      </c>
      <c r="E522" s="7" t="s">
        <v>1913</v>
      </c>
      <c r="F522" s="2">
        <f>VLOOKUP(E522,'M10B Order'!B:G,6,FALSE)</f>
        <v>0</v>
      </c>
    </row>
    <row r="523" spans="1:8" x14ac:dyDescent="0.2">
      <c r="A523" s="7" t="s">
        <v>1830</v>
      </c>
      <c r="B523" s="7">
        <v>587520144</v>
      </c>
      <c r="C523" s="7" t="s">
        <v>1912</v>
      </c>
      <c r="D523" s="7">
        <v>81004033474</v>
      </c>
      <c r="E523" s="7" t="s">
        <v>1911</v>
      </c>
      <c r="F523" s="2">
        <f>VLOOKUP(E523,'M10B Order'!B:G,6,FALSE)</f>
        <v>0</v>
      </c>
    </row>
    <row r="524" spans="1:8" x14ac:dyDescent="0.2">
      <c r="A524" s="7" t="s">
        <v>1830</v>
      </c>
      <c r="B524" s="7">
        <v>587520139</v>
      </c>
      <c r="C524" s="7" t="s">
        <v>1910</v>
      </c>
      <c r="D524" s="7">
        <v>81004033473</v>
      </c>
      <c r="E524" s="7" t="s">
        <v>1909</v>
      </c>
      <c r="F524" s="2">
        <f>VLOOKUP(E524,'M10B Order'!B:G,6,FALSE)</f>
        <v>0</v>
      </c>
    </row>
    <row r="525" spans="1:8" x14ac:dyDescent="0.2">
      <c r="A525" s="7" t="s">
        <v>1830</v>
      </c>
      <c r="B525" s="7">
        <v>587520149</v>
      </c>
      <c r="C525" s="7" t="s">
        <v>1908</v>
      </c>
      <c r="D525" s="7">
        <v>81004033472</v>
      </c>
      <c r="E525" s="7" t="s">
        <v>1907</v>
      </c>
      <c r="F525" s="2">
        <f>VLOOKUP(E525,'M10B Order'!B:G,6,FALSE)</f>
        <v>0</v>
      </c>
    </row>
    <row r="526" spans="1:8" x14ac:dyDescent="0.2">
      <c r="A526" s="7" t="s">
        <v>1830</v>
      </c>
      <c r="B526" s="7">
        <v>587520142</v>
      </c>
      <c r="C526" s="7" t="s">
        <v>1906</v>
      </c>
      <c r="D526" s="7">
        <v>81004033471</v>
      </c>
      <c r="E526" s="7" t="s">
        <v>1905</v>
      </c>
      <c r="F526" s="2">
        <f>VLOOKUP(E526,'M10B Order'!B:G,6,FALSE)</f>
        <v>0</v>
      </c>
    </row>
    <row r="527" spans="1:8" x14ac:dyDescent="0.2">
      <c r="A527" s="7" t="s">
        <v>1830</v>
      </c>
      <c r="B527" s="7">
        <v>587520148</v>
      </c>
      <c r="C527" s="7" t="s">
        <v>1904</v>
      </c>
      <c r="D527" s="7">
        <v>81004033470</v>
      </c>
      <c r="E527" s="7" t="s">
        <v>1903</v>
      </c>
      <c r="F527" s="2">
        <f>VLOOKUP(E527,'M10B Order'!B:G,6,FALSE)</f>
        <v>0</v>
      </c>
    </row>
    <row r="528" spans="1:8" x14ac:dyDescent="0.2">
      <c r="A528" s="7" t="s">
        <v>1830</v>
      </c>
      <c r="B528" s="7">
        <v>587520136</v>
      </c>
      <c r="C528" s="7" t="s">
        <v>1902</v>
      </c>
      <c r="D528" s="7">
        <v>81004033469</v>
      </c>
      <c r="E528" s="7" t="s">
        <v>1901</v>
      </c>
      <c r="F528" s="2">
        <f>VLOOKUP(E528,'M10B Order'!B:G,6,FALSE)</f>
        <v>0</v>
      </c>
    </row>
    <row r="529" spans="1:6" x14ac:dyDescent="0.2">
      <c r="A529" s="7" t="s">
        <v>1830</v>
      </c>
      <c r="B529" s="7">
        <v>587520135</v>
      </c>
      <c r="C529" s="7" t="s">
        <v>1900</v>
      </c>
      <c r="D529" s="7">
        <v>81004033468</v>
      </c>
      <c r="E529" s="7" t="s">
        <v>1899</v>
      </c>
      <c r="F529" s="2">
        <f>VLOOKUP(E529,'M10B Order'!B:G,6,FALSE)</f>
        <v>0</v>
      </c>
    </row>
    <row r="530" spans="1:6" x14ac:dyDescent="0.2">
      <c r="A530" s="7" t="s">
        <v>1830</v>
      </c>
      <c r="B530" s="7">
        <v>587520134</v>
      </c>
      <c r="C530" s="7" t="s">
        <v>1898</v>
      </c>
      <c r="D530" s="7">
        <v>81004033467</v>
      </c>
      <c r="E530" s="7" t="s">
        <v>1897</v>
      </c>
      <c r="F530" s="2">
        <f>VLOOKUP(E530,'M10B Order'!B:G,6,FALSE)</f>
        <v>0</v>
      </c>
    </row>
    <row r="531" spans="1:6" x14ac:dyDescent="0.2">
      <c r="A531" s="7" t="s">
        <v>1830</v>
      </c>
      <c r="B531" s="7">
        <v>587520137</v>
      </c>
      <c r="C531" s="7" t="s">
        <v>1896</v>
      </c>
      <c r="D531" s="7">
        <v>81004033466</v>
      </c>
      <c r="E531" s="7" t="s">
        <v>1895</v>
      </c>
      <c r="F531" s="2">
        <f>VLOOKUP(E531,'M10B Order'!B:G,6,FALSE)</f>
        <v>0</v>
      </c>
    </row>
    <row r="532" spans="1:6" x14ac:dyDescent="0.2">
      <c r="A532" s="7" t="s">
        <v>1830</v>
      </c>
      <c r="B532" s="7">
        <v>587520130</v>
      </c>
      <c r="C532" s="7" t="s">
        <v>1864</v>
      </c>
      <c r="D532" s="7">
        <v>81004033465</v>
      </c>
      <c r="E532" s="7" t="s">
        <v>1894</v>
      </c>
      <c r="F532" s="2">
        <f>VLOOKUP(E532,'M10B Order'!B:G,6,FALSE)</f>
        <v>0</v>
      </c>
    </row>
    <row r="533" spans="1:6" x14ac:dyDescent="0.2">
      <c r="A533" s="7" t="s">
        <v>1830</v>
      </c>
      <c r="B533" s="7">
        <v>587520138</v>
      </c>
      <c r="C533" s="7" t="s">
        <v>1893</v>
      </c>
      <c r="D533" s="7">
        <v>81004033464</v>
      </c>
      <c r="E533" s="7" t="s">
        <v>1892</v>
      </c>
      <c r="F533" s="2">
        <f>VLOOKUP(E533,'M10B Order'!B:G,6,FALSE)</f>
        <v>0</v>
      </c>
    </row>
    <row r="534" spans="1:6" x14ac:dyDescent="0.2">
      <c r="A534" s="7" t="s">
        <v>1830</v>
      </c>
      <c r="B534" s="7">
        <v>587520131</v>
      </c>
      <c r="C534" s="7" t="s">
        <v>1891</v>
      </c>
      <c r="D534" s="7">
        <v>81004033463</v>
      </c>
      <c r="E534" s="7" t="s">
        <v>1890</v>
      </c>
      <c r="F534" s="2">
        <f>VLOOKUP(E534,'M10B Order'!B:G,6,FALSE)</f>
        <v>0</v>
      </c>
    </row>
    <row r="535" spans="1:6" x14ac:dyDescent="0.2">
      <c r="A535" s="7" t="s">
        <v>1830</v>
      </c>
      <c r="B535" s="7">
        <v>587520133</v>
      </c>
      <c r="C535" s="7" t="s">
        <v>1889</v>
      </c>
      <c r="D535" s="7">
        <v>81004033462</v>
      </c>
      <c r="E535" s="7" t="s">
        <v>1888</v>
      </c>
      <c r="F535" s="2">
        <f>VLOOKUP(E535,'M10B Order'!B:G,6,FALSE)</f>
        <v>0</v>
      </c>
    </row>
    <row r="536" spans="1:6" x14ac:dyDescent="0.2">
      <c r="A536" s="7" t="s">
        <v>1830</v>
      </c>
      <c r="B536" s="7">
        <v>587520128</v>
      </c>
      <c r="C536" s="7" t="s">
        <v>1887</v>
      </c>
      <c r="D536" s="7">
        <v>81004033461</v>
      </c>
      <c r="E536" s="7" t="s">
        <v>1886</v>
      </c>
      <c r="F536" s="2">
        <f>VLOOKUP(E536,'M10B Order'!B:G,6,FALSE)</f>
        <v>0</v>
      </c>
    </row>
    <row r="537" spans="1:6" x14ac:dyDescent="0.2">
      <c r="A537" s="7" t="s">
        <v>1830</v>
      </c>
      <c r="B537" s="7">
        <v>587520129</v>
      </c>
      <c r="C537" s="7" t="s">
        <v>1885</v>
      </c>
      <c r="D537" s="7">
        <v>81004033460</v>
      </c>
      <c r="E537" s="7" t="s">
        <v>1884</v>
      </c>
      <c r="F537" s="2">
        <f>VLOOKUP(E537,'M10B Order'!B:G,6,FALSE)</f>
        <v>0</v>
      </c>
    </row>
    <row r="538" spans="1:6" x14ac:dyDescent="0.2">
      <c r="A538" s="7" t="s">
        <v>1830</v>
      </c>
      <c r="B538" s="7">
        <v>587520127</v>
      </c>
      <c r="C538" s="7" t="s">
        <v>1883</v>
      </c>
      <c r="D538" s="7">
        <v>81004033459</v>
      </c>
      <c r="E538" s="7" t="s">
        <v>1882</v>
      </c>
      <c r="F538" s="2">
        <f>VLOOKUP(E538,'M10B Order'!B:G,6,FALSE)</f>
        <v>0</v>
      </c>
    </row>
    <row r="539" spans="1:6" x14ac:dyDescent="0.2">
      <c r="A539" s="7" t="s">
        <v>1830</v>
      </c>
      <c r="B539" s="7">
        <v>587520126</v>
      </c>
      <c r="C539" s="7" t="s">
        <v>1852</v>
      </c>
      <c r="D539" s="7">
        <v>81004033458</v>
      </c>
      <c r="E539" s="7" t="s">
        <v>1881</v>
      </c>
      <c r="F539" s="2">
        <f>VLOOKUP(E539,'M10B Order'!B:G,6,FALSE)</f>
        <v>0</v>
      </c>
    </row>
    <row r="540" spans="1:6" x14ac:dyDescent="0.2">
      <c r="A540" s="7" t="s">
        <v>1830</v>
      </c>
      <c r="B540" s="7">
        <v>587520132</v>
      </c>
      <c r="C540" s="7" t="s">
        <v>1852</v>
      </c>
      <c r="D540" s="7">
        <v>81004033457</v>
      </c>
      <c r="E540" s="7" t="s">
        <v>1880</v>
      </c>
      <c r="F540" s="2">
        <f>VLOOKUP(E540,'M10B Order'!B:G,6,FALSE)</f>
        <v>0</v>
      </c>
    </row>
    <row r="541" spans="1:6" x14ac:dyDescent="0.2">
      <c r="A541" s="7" t="s">
        <v>1830</v>
      </c>
      <c r="B541" s="7">
        <v>587520123</v>
      </c>
      <c r="C541" s="7" t="s">
        <v>1879</v>
      </c>
      <c r="D541" s="7">
        <v>81004033456</v>
      </c>
      <c r="E541" s="7" t="s">
        <v>1878</v>
      </c>
      <c r="F541" s="2">
        <f>VLOOKUP(E541,'M10B Order'!B:G,6,FALSE)</f>
        <v>0</v>
      </c>
    </row>
    <row r="542" spans="1:6" x14ac:dyDescent="0.2">
      <c r="A542" s="7" t="s">
        <v>1830</v>
      </c>
      <c r="B542" s="7">
        <v>587520125</v>
      </c>
      <c r="C542" s="7" t="s">
        <v>1877</v>
      </c>
      <c r="D542" s="7">
        <v>81004033455</v>
      </c>
      <c r="E542" s="7" t="s">
        <v>1876</v>
      </c>
      <c r="F542" s="2">
        <f>VLOOKUP(E542,'M10B Order'!B:G,6,FALSE)</f>
        <v>0</v>
      </c>
    </row>
    <row r="543" spans="1:6" x14ac:dyDescent="0.2">
      <c r="A543" s="7" t="s">
        <v>1830</v>
      </c>
      <c r="B543" s="7">
        <v>587520122</v>
      </c>
      <c r="C543" s="7" t="s">
        <v>1875</v>
      </c>
      <c r="D543" s="7">
        <v>81004033454</v>
      </c>
      <c r="E543" s="7" t="s">
        <v>1874</v>
      </c>
      <c r="F543" s="2">
        <f>VLOOKUP(E543,'M10B Order'!B:G,6,FALSE)</f>
        <v>0</v>
      </c>
    </row>
    <row r="544" spans="1:6" x14ac:dyDescent="0.2">
      <c r="A544" s="7" t="s">
        <v>1830</v>
      </c>
      <c r="B544" s="7">
        <v>587520124</v>
      </c>
      <c r="C544" s="7" t="s">
        <v>1873</v>
      </c>
      <c r="D544" s="7">
        <v>81004033453</v>
      </c>
      <c r="E544" s="7" t="s">
        <v>1872</v>
      </c>
      <c r="F544" s="2">
        <f>VLOOKUP(E544,'M10B Order'!B:G,6,FALSE)</f>
        <v>0</v>
      </c>
    </row>
    <row r="545" spans="1:6" x14ac:dyDescent="0.2">
      <c r="A545" s="7" t="s">
        <v>1830</v>
      </c>
      <c r="B545" s="7">
        <v>587520238</v>
      </c>
      <c r="C545" s="7" t="s">
        <v>1871</v>
      </c>
      <c r="D545" s="7">
        <v>81004033452</v>
      </c>
      <c r="E545" s="7" t="s">
        <v>1870</v>
      </c>
      <c r="F545" s="2">
        <f>VLOOKUP(E545,'M10B Order'!B:G,6,FALSE)</f>
        <v>0</v>
      </c>
    </row>
    <row r="546" spans="1:6" x14ac:dyDescent="0.2">
      <c r="A546" s="7" t="s">
        <v>1830</v>
      </c>
      <c r="B546" s="7">
        <v>587520121</v>
      </c>
      <c r="C546" s="7" t="s">
        <v>1852</v>
      </c>
      <c r="D546" s="7">
        <v>81004033451</v>
      </c>
      <c r="E546" s="7" t="s">
        <v>1869</v>
      </c>
      <c r="F546" s="2">
        <f>VLOOKUP(E546,'M10B Order'!B:G,6,FALSE)</f>
        <v>0</v>
      </c>
    </row>
    <row r="547" spans="1:6" x14ac:dyDescent="0.2">
      <c r="A547" s="7" t="s">
        <v>1830</v>
      </c>
      <c r="B547" s="7">
        <v>587520119</v>
      </c>
      <c r="C547" s="7" t="s">
        <v>1868</v>
      </c>
      <c r="D547" s="7">
        <v>81004033450</v>
      </c>
      <c r="E547" s="7" t="s">
        <v>1867</v>
      </c>
      <c r="F547" s="2">
        <f>VLOOKUP(E547,'M10B Order'!B:G,6,FALSE)</f>
        <v>0</v>
      </c>
    </row>
    <row r="548" spans="1:6" x14ac:dyDescent="0.2">
      <c r="A548" s="7" t="s">
        <v>1830</v>
      </c>
      <c r="B548" s="7">
        <v>587520116</v>
      </c>
      <c r="C548" s="7" t="s">
        <v>1866</v>
      </c>
      <c r="D548" s="7">
        <v>81004033435</v>
      </c>
      <c r="E548" s="7" t="s">
        <v>1865</v>
      </c>
      <c r="F548" s="2">
        <f>VLOOKUP(E548,'M10B Order'!B:G,6,FALSE)</f>
        <v>0</v>
      </c>
    </row>
    <row r="549" spans="1:6" x14ac:dyDescent="0.2">
      <c r="A549" s="7" t="s">
        <v>1830</v>
      </c>
      <c r="B549" s="7">
        <v>587520117</v>
      </c>
      <c r="C549" s="7" t="s">
        <v>1864</v>
      </c>
      <c r="D549" s="7">
        <v>81004033434</v>
      </c>
      <c r="E549" s="7" t="s">
        <v>1863</v>
      </c>
      <c r="F549" s="2">
        <f>VLOOKUP(E549,'M10B Order'!B:G,6,FALSE)</f>
        <v>0</v>
      </c>
    </row>
    <row r="550" spans="1:6" x14ac:dyDescent="0.2">
      <c r="A550" s="7" t="s">
        <v>1830</v>
      </c>
      <c r="B550" s="7">
        <v>587520120</v>
      </c>
      <c r="C550" s="7" t="s">
        <v>1862</v>
      </c>
      <c r="D550" s="7">
        <v>81004033433</v>
      </c>
      <c r="E550" s="7" t="s">
        <v>1861</v>
      </c>
      <c r="F550" s="2">
        <f>VLOOKUP(E550,'M10B Order'!B:G,6,FALSE)</f>
        <v>0</v>
      </c>
    </row>
    <row r="551" spans="1:6" x14ac:dyDescent="0.2">
      <c r="A551" s="7" t="s">
        <v>1830</v>
      </c>
      <c r="B551" s="7">
        <v>587520118</v>
      </c>
      <c r="C551" s="7" t="s">
        <v>1860</v>
      </c>
      <c r="D551" s="7">
        <v>81004033432</v>
      </c>
      <c r="E551" s="7" t="s">
        <v>1859</v>
      </c>
      <c r="F551" s="2">
        <f>VLOOKUP(E551,'M10B Order'!B:G,6,FALSE)</f>
        <v>0</v>
      </c>
    </row>
    <row r="552" spans="1:6" x14ac:dyDescent="0.2">
      <c r="A552" s="7" t="s">
        <v>1830</v>
      </c>
      <c r="B552" s="7">
        <v>587520114</v>
      </c>
      <c r="C552" s="7" t="s">
        <v>1858</v>
      </c>
      <c r="D552" s="7">
        <v>81004033431</v>
      </c>
      <c r="E552" s="7" t="s">
        <v>1857</v>
      </c>
      <c r="F552" s="2">
        <f>VLOOKUP(E552,'M10B Order'!B:G,6,FALSE)</f>
        <v>0</v>
      </c>
    </row>
    <row r="553" spans="1:6" x14ac:dyDescent="0.2">
      <c r="A553" s="7" t="s">
        <v>1830</v>
      </c>
      <c r="B553" s="7">
        <v>587520113</v>
      </c>
      <c r="C553" s="7" t="s">
        <v>1856</v>
      </c>
      <c r="D553" s="7">
        <v>81004033430</v>
      </c>
      <c r="E553" s="7" t="s">
        <v>1855</v>
      </c>
      <c r="F553" s="2">
        <f>VLOOKUP(E553,'M10B Order'!B:G,6,FALSE)</f>
        <v>0</v>
      </c>
    </row>
    <row r="554" spans="1:6" x14ac:dyDescent="0.2">
      <c r="A554" s="7" t="s">
        <v>1830</v>
      </c>
      <c r="B554" s="7">
        <v>587520107</v>
      </c>
      <c r="C554" s="7" t="s">
        <v>1854</v>
      </c>
      <c r="D554" s="7">
        <v>81004033429</v>
      </c>
      <c r="E554" s="7" t="s">
        <v>1853</v>
      </c>
      <c r="F554" s="2">
        <f>VLOOKUP(E554,'M10B Order'!B:G,6,FALSE)</f>
        <v>0</v>
      </c>
    </row>
    <row r="555" spans="1:6" x14ac:dyDescent="0.2">
      <c r="A555" s="7" t="s">
        <v>1830</v>
      </c>
      <c r="B555" s="7">
        <v>587520112</v>
      </c>
      <c r="C555" s="7" t="s">
        <v>1852</v>
      </c>
      <c r="D555" s="7">
        <v>81004033428</v>
      </c>
      <c r="E555" s="7" t="s">
        <v>1851</v>
      </c>
      <c r="F555" s="2">
        <f>VLOOKUP(E555,'M10B Order'!B:G,6,FALSE)</f>
        <v>0</v>
      </c>
    </row>
    <row r="556" spans="1:6" x14ac:dyDescent="0.2">
      <c r="A556" s="7" t="s">
        <v>1830</v>
      </c>
      <c r="B556" s="7">
        <v>587520108</v>
      </c>
      <c r="C556" s="7" t="s">
        <v>1850</v>
      </c>
      <c r="D556" s="7">
        <v>81004033427</v>
      </c>
      <c r="E556" s="7" t="s">
        <v>1849</v>
      </c>
      <c r="F556" s="2">
        <f>VLOOKUP(E556,'M10B Order'!B:G,6,FALSE)</f>
        <v>0</v>
      </c>
    </row>
    <row r="557" spans="1:6" x14ac:dyDescent="0.2">
      <c r="A557" s="7" t="s">
        <v>1830</v>
      </c>
      <c r="B557" s="7">
        <v>587520111</v>
      </c>
      <c r="C557" s="7" t="s">
        <v>1848</v>
      </c>
      <c r="D557" s="7">
        <v>81004033426</v>
      </c>
      <c r="E557" s="7" t="s">
        <v>1847</v>
      </c>
      <c r="F557" s="2">
        <f>VLOOKUP(E557,'M10B Order'!B:G,6,FALSE)</f>
        <v>0</v>
      </c>
    </row>
    <row r="558" spans="1:6" x14ac:dyDescent="0.2">
      <c r="A558" s="7" t="s">
        <v>1830</v>
      </c>
      <c r="B558" s="7">
        <v>587520105</v>
      </c>
      <c r="C558" s="7" t="s">
        <v>1846</v>
      </c>
      <c r="D558" s="7">
        <v>81004033425</v>
      </c>
      <c r="E558" s="7" t="s">
        <v>1845</v>
      </c>
      <c r="F558" s="2">
        <f>VLOOKUP(E558,'M10B Order'!B:G,6,FALSE)</f>
        <v>0</v>
      </c>
    </row>
    <row r="559" spans="1:6" x14ac:dyDescent="0.2">
      <c r="A559" s="7" t="s">
        <v>1830</v>
      </c>
      <c r="B559" s="7">
        <v>587520109</v>
      </c>
      <c r="C559" s="7" t="s">
        <v>1844</v>
      </c>
      <c r="D559" s="7">
        <v>81004033424</v>
      </c>
      <c r="E559" s="7" t="s">
        <v>1843</v>
      </c>
      <c r="F559" s="2">
        <f>VLOOKUP(E559,'M10B Order'!B:G,6,FALSE)</f>
        <v>0</v>
      </c>
    </row>
    <row r="560" spans="1:6" x14ac:dyDescent="0.2">
      <c r="A560" s="7" t="s">
        <v>1830</v>
      </c>
      <c r="B560" s="7">
        <v>587520110</v>
      </c>
      <c r="C560" s="7" t="s">
        <v>1842</v>
      </c>
      <c r="D560" s="7">
        <v>81004033423</v>
      </c>
      <c r="E560" s="7" t="s">
        <v>1841</v>
      </c>
      <c r="F560" s="2">
        <f>VLOOKUP(E560,'M10B Order'!B:G,6,FALSE)</f>
        <v>0</v>
      </c>
    </row>
    <row r="561" spans="1:6" x14ac:dyDescent="0.2">
      <c r="A561" s="7" t="s">
        <v>1830</v>
      </c>
      <c r="B561" s="7">
        <v>587520176</v>
      </c>
      <c r="C561" s="7" t="s">
        <v>1840</v>
      </c>
      <c r="D561" s="7">
        <v>81004033508</v>
      </c>
      <c r="E561" s="7" t="s">
        <v>1839</v>
      </c>
      <c r="F561" s="2">
        <f>VLOOKUP(E561,'M10B Order'!B:G,6,FALSE)</f>
        <v>0</v>
      </c>
    </row>
    <row r="562" spans="1:6" x14ac:dyDescent="0.2">
      <c r="A562" s="7" t="s">
        <v>1830</v>
      </c>
      <c r="B562" s="7">
        <v>587520106</v>
      </c>
      <c r="C562" s="7" t="s">
        <v>1838</v>
      </c>
      <c r="D562" s="7">
        <v>81004033422</v>
      </c>
      <c r="E562" s="7" t="s">
        <v>1837</v>
      </c>
      <c r="F562" s="2">
        <f>VLOOKUP(E562,'M10B Order'!B:G,6,FALSE)</f>
        <v>0</v>
      </c>
    </row>
    <row r="563" spans="1:6" x14ac:dyDescent="0.2">
      <c r="A563" s="7" t="s">
        <v>1830</v>
      </c>
      <c r="B563" s="7">
        <v>587520174</v>
      </c>
      <c r="C563" s="7" t="s">
        <v>1836</v>
      </c>
      <c r="D563" s="7">
        <v>81004033507</v>
      </c>
      <c r="E563" s="7" t="s">
        <v>1835</v>
      </c>
      <c r="F563" s="2">
        <f>VLOOKUP(E563,'M10B Order'!B:G,6,FALSE)</f>
        <v>0</v>
      </c>
    </row>
    <row r="564" spans="1:6" x14ac:dyDescent="0.2">
      <c r="A564" s="7" t="s">
        <v>1830</v>
      </c>
      <c r="B564" s="7">
        <v>587520177</v>
      </c>
      <c r="C564" s="7" t="s">
        <v>1834</v>
      </c>
      <c r="D564" s="7" t="s">
        <v>1934</v>
      </c>
      <c r="E564" s="7" t="s">
        <v>1833</v>
      </c>
      <c r="F564" s="2">
        <f>VLOOKUP(E564,'M10B Order'!B:G,6,FALSE)</f>
        <v>0</v>
      </c>
    </row>
    <row r="565" spans="1:6" x14ac:dyDescent="0.2">
      <c r="A565" s="7" t="s">
        <v>1830</v>
      </c>
      <c r="B565" s="7">
        <v>587520104</v>
      </c>
      <c r="C565" s="7" t="s">
        <v>1832</v>
      </c>
      <c r="D565" s="7">
        <v>81004033421</v>
      </c>
      <c r="E565" s="7" t="s">
        <v>1831</v>
      </c>
      <c r="F565" s="2">
        <f>VLOOKUP(E565,'M10B Order'!B:G,6,FALSE)</f>
        <v>0</v>
      </c>
    </row>
    <row r="566" spans="1:6" x14ac:dyDescent="0.2">
      <c r="A566" s="7" t="s">
        <v>1830</v>
      </c>
      <c r="B566" s="7">
        <v>587520115</v>
      </c>
      <c r="C566" s="7" t="s">
        <v>1829</v>
      </c>
      <c r="D566" s="7">
        <v>81004033420</v>
      </c>
      <c r="E566" s="7" t="s">
        <v>1828</v>
      </c>
      <c r="F566" s="2">
        <f>VLOOKUP(E566,'M10B Order'!B:G,6,FALSE)</f>
        <v>0</v>
      </c>
    </row>
    <row r="567" spans="1:6" x14ac:dyDescent="0.2">
      <c r="A567" s="7" t="s">
        <v>1781</v>
      </c>
      <c r="B567" s="7">
        <v>587520175</v>
      </c>
      <c r="C567" s="7" t="s">
        <v>1822</v>
      </c>
      <c r="D567" s="7">
        <v>81004033505</v>
      </c>
      <c r="E567" s="7" t="s">
        <v>1821</v>
      </c>
      <c r="F567" s="2">
        <f>VLOOKUP(E567,'M10B Order'!B:G,6,FALSE)</f>
        <v>0</v>
      </c>
    </row>
    <row r="568" spans="1:6" x14ac:dyDescent="0.2">
      <c r="A568" s="7" t="s">
        <v>1781</v>
      </c>
      <c r="B568" s="7">
        <v>587520178</v>
      </c>
      <c r="C568" s="7" t="s">
        <v>1820</v>
      </c>
      <c r="D568" s="7">
        <v>81004033504</v>
      </c>
      <c r="E568" s="7" t="s">
        <v>1819</v>
      </c>
      <c r="F568" s="2">
        <f>VLOOKUP(E568,'M10B Order'!B:G,6,FALSE)</f>
        <v>0</v>
      </c>
    </row>
    <row r="569" spans="1:6" x14ac:dyDescent="0.2">
      <c r="A569" s="7" t="s">
        <v>1781</v>
      </c>
      <c r="B569" s="7">
        <v>587520170</v>
      </c>
      <c r="C569" s="7" t="s">
        <v>1818</v>
      </c>
      <c r="D569" s="7">
        <v>81004033502</v>
      </c>
      <c r="E569" s="7" t="s">
        <v>1817</v>
      </c>
      <c r="F569" s="2">
        <f>VLOOKUP(E569,'M10B Order'!B:G,6,FALSE)</f>
        <v>0</v>
      </c>
    </row>
    <row r="570" spans="1:6" x14ac:dyDescent="0.2">
      <c r="A570" s="7" t="s">
        <v>1781</v>
      </c>
      <c r="B570" s="7">
        <v>587520236</v>
      </c>
      <c r="C570" s="7" t="s">
        <v>1780</v>
      </c>
      <c r="D570" s="7">
        <v>81004033501</v>
      </c>
      <c r="E570" s="7" t="s">
        <v>1816</v>
      </c>
      <c r="F570" s="2">
        <f>VLOOKUP(E570,'M10B Order'!B:G,6,FALSE)</f>
        <v>0</v>
      </c>
    </row>
    <row r="571" spans="1:6" x14ac:dyDescent="0.2">
      <c r="A571" s="7" t="s">
        <v>1781</v>
      </c>
      <c r="B571" s="7">
        <v>587520171</v>
      </c>
      <c r="C571" s="7" t="s">
        <v>1815</v>
      </c>
      <c r="D571" s="7">
        <v>81004033500</v>
      </c>
      <c r="E571" s="7" t="s">
        <v>1814</v>
      </c>
      <c r="F571" s="2">
        <f>VLOOKUP(E571,'M10B Order'!B:G,6,FALSE)</f>
        <v>0</v>
      </c>
    </row>
    <row r="572" spans="1:6" x14ac:dyDescent="0.2">
      <c r="A572" s="7" t="s">
        <v>1781</v>
      </c>
      <c r="B572" s="7">
        <v>587520166</v>
      </c>
      <c r="C572" s="7" t="s">
        <v>1813</v>
      </c>
      <c r="D572" s="7">
        <v>81004033499</v>
      </c>
      <c r="E572" s="7" t="s">
        <v>1812</v>
      </c>
      <c r="F572" s="2">
        <f>VLOOKUP(E572,'M10B Order'!B:G,6,FALSE)</f>
        <v>0</v>
      </c>
    </row>
    <row r="573" spans="1:6" x14ac:dyDescent="0.2">
      <c r="A573" s="7" t="s">
        <v>1781</v>
      </c>
      <c r="B573" s="7">
        <v>587520172</v>
      </c>
      <c r="C573" s="7" t="s">
        <v>1811</v>
      </c>
      <c r="D573" s="7">
        <v>81004033498</v>
      </c>
      <c r="E573" s="7" t="s">
        <v>1810</v>
      </c>
      <c r="F573" s="2">
        <f>VLOOKUP(E573,'M10B Order'!B:G,6,FALSE)</f>
        <v>0</v>
      </c>
    </row>
    <row r="574" spans="1:6" x14ac:dyDescent="0.2">
      <c r="A574" s="7" t="s">
        <v>1781</v>
      </c>
      <c r="B574" s="7">
        <v>587520167</v>
      </c>
      <c r="C574" s="7" t="s">
        <v>1799</v>
      </c>
      <c r="D574" s="7">
        <v>81004033497</v>
      </c>
      <c r="E574" s="7" t="s">
        <v>1809</v>
      </c>
      <c r="F574" s="2">
        <f>VLOOKUP(E574,'M10B Order'!B:G,6,FALSE)</f>
        <v>0</v>
      </c>
    </row>
    <row r="575" spans="1:6" x14ac:dyDescent="0.2">
      <c r="A575" s="7" t="s">
        <v>1781</v>
      </c>
      <c r="B575" s="7">
        <v>587520173</v>
      </c>
      <c r="C575" s="7" t="s">
        <v>1808</v>
      </c>
      <c r="D575" s="7">
        <v>81004033496</v>
      </c>
      <c r="E575" s="7" t="s">
        <v>1807</v>
      </c>
      <c r="F575" s="2">
        <f>VLOOKUP(E575,'M10B Order'!B:G,6,FALSE)</f>
        <v>0</v>
      </c>
    </row>
    <row r="576" spans="1:6" x14ac:dyDescent="0.2">
      <c r="A576" s="7" t="s">
        <v>1781</v>
      </c>
      <c r="B576" s="7">
        <v>587520165</v>
      </c>
      <c r="C576" s="7" t="s">
        <v>1780</v>
      </c>
      <c r="D576" s="7">
        <v>81004033495</v>
      </c>
      <c r="E576" s="7" t="s">
        <v>1806</v>
      </c>
      <c r="F576" s="2">
        <f>VLOOKUP(E576,'M10B Order'!B:G,6,FALSE)</f>
        <v>0</v>
      </c>
    </row>
    <row r="577" spans="1:6" x14ac:dyDescent="0.2">
      <c r="A577" s="7" t="s">
        <v>1781</v>
      </c>
      <c r="B577" s="7">
        <v>587520161</v>
      </c>
      <c r="C577" s="7" t="s">
        <v>1805</v>
      </c>
      <c r="D577" s="7">
        <v>81004033494</v>
      </c>
      <c r="E577" s="7" t="s">
        <v>1804</v>
      </c>
      <c r="F577" s="2">
        <f>VLOOKUP(E577,'M10B Order'!B:G,6,FALSE)</f>
        <v>0</v>
      </c>
    </row>
    <row r="578" spans="1:6" x14ac:dyDescent="0.2">
      <c r="A578" s="7" t="s">
        <v>1781</v>
      </c>
      <c r="B578" s="7">
        <v>587520164</v>
      </c>
      <c r="C578" s="7" t="s">
        <v>1803</v>
      </c>
      <c r="D578" s="7">
        <v>81004033493</v>
      </c>
      <c r="E578" s="7" t="s">
        <v>1802</v>
      </c>
      <c r="F578" s="2">
        <f>VLOOKUP(E578,'M10B Order'!B:G,6,FALSE)</f>
        <v>0</v>
      </c>
    </row>
    <row r="579" spans="1:6" x14ac:dyDescent="0.2">
      <c r="A579" s="7" t="s">
        <v>1781</v>
      </c>
      <c r="B579" s="7">
        <v>587520160</v>
      </c>
      <c r="C579" s="7" t="s">
        <v>1801</v>
      </c>
      <c r="D579" s="7">
        <v>81004033492</v>
      </c>
      <c r="E579" s="7" t="s">
        <v>1800</v>
      </c>
      <c r="F579" s="2">
        <f>VLOOKUP(E579,'M10B Order'!B:G,6,FALSE)</f>
        <v>0</v>
      </c>
    </row>
    <row r="580" spans="1:6" x14ac:dyDescent="0.2">
      <c r="A580" s="7" t="s">
        <v>1781</v>
      </c>
      <c r="B580" s="7">
        <v>587520169</v>
      </c>
      <c r="C580" s="7" t="s">
        <v>1799</v>
      </c>
      <c r="D580" s="7">
        <v>81004033491</v>
      </c>
      <c r="E580" s="7" t="s">
        <v>1798</v>
      </c>
      <c r="F580" s="2">
        <f>VLOOKUP(E580,'M10B Order'!B:G,6,FALSE)</f>
        <v>0</v>
      </c>
    </row>
    <row r="581" spans="1:6" x14ac:dyDescent="0.2">
      <c r="A581" s="7" t="s">
        <v>1781</v>
      </c>
      <c r="B581" s="7">
        <v>587520162</v>
      </c>
      <c r="C581" s="7" t="s">
        <v>1797</v>
      </c>
      <c r="D581" s="7">
        <v>81004033490</v>
      </c>
      <c r="E581" s="7" t="s">
        <v>1796</v>
      </c>
      <c r="F581" s="2">
        <f>VLOOKUP(E581,'M10B Order'!B:G,6,FALSE)</f>
        <v>0</v>
      </c>
    </row>
    <row r="582" spans="1:6" x14ac:dyDescent="0.2">
      <c r="A582" s="7" t="s">
        <v>1781</v>
      </c>
      <c r="B582" s="7">
        <v>587520157</v>
      </c>
      <c r="C582" s="7" t="s">
        <v>1795</v>
      </c>
      <c r="D582" s="7">
        <v>81004033489</v>
      </c>
      <c r="E582" s="7" t="s">
        <v>1794</v>
      </c>
      <c r="F582" s="2">
        <f>VLOOKUP(E582,'M10B Order'!B:G,6,FALSE)</f>
        <v>0</v>
      </c>
    </row>
    <row r="583" spans="1:6" x14ac:dyDescent="0.2">
      <c r="A583" s="7" t="s">
        <v>1781</v>
      </c>
      <c r="B583" s="7">
        <v>587520159</v>
      </c>
      <c r="C583" s="7" t="s">
        <v>1793</v>
      </c>
      <c r="D583" s="7">
        <v>81004033488</v>
      </c>
      <c r="E583" s="7" t="s">
        <v>1792</v>
      </c>
      <c r="F583" s="2">
        <f>VLOOKUP(E583,'M10B Order'!B:G,6,FALSE)</f>
        <v>0</v>
      </c>
    </row>
    <row r="584" spans="1:6" x14ac:dyDescent="0.2">
      <c r="A584" s="7" t="s">
        <v>1781</v>
      </c>
      <c r="B584" s="7">
        <v>587520156</v>
      </c>
      <c r="C584" s="7" t="s">
        <v>1791</v>
      </c>
      <c r="D584" s="7">
        <v>81004033487</v>
      </c>
      <c r="E584" s="7" t="s">
        <v>1790</v>
      </c>
      <c r="F584" s="2">
        <f>VLOOKUP(E584,'M10B Order'!B:G,6,FALSE)</f>
        <v>0</v>
      </c>
    </row>
    <row r="585" spans="1:6" x14ac:dyDescent="0.2">
      <c r="A585" s="7" t="s">
        <v>1781</v>
      </c>
      <c r="B585" s="7">
        <v>587520154</v>
      </c>
      <c r="C585" s="7" t="s">
        <v>1789</v>
      </c>
      <c r="D585" s="7">
        <v>81004033486</v>
      </c>
      <c r="E585" s="7" t="s">
        <v>1788</v>
      </c>
      <c r="F585" s="2">
        <f>VLOOKUP(E585,'M10B Order'!B:G,6,FALSE)</f>
        <v>0</v>
      </c>
    </row>
    <row r="586" spans="1:6" x14ac:dyDescent="0.2">
      <c r="A586" s="7" t="s">
        <v>1781</v>
      </c>
      <c r="B586" s="7">
        <v>587520153</v>
      </c>
      <c r="C586" s="7" t="s">
        <v>1787</v>
      </c>
      <c r="D586" s="7">
        <v>81004033485</v>
      </c>
      <c r="E586" s="7" t="s">
        <v>1786</v>
      </c>
      <c r="F586" s="2">
        <f>VLOOKUP(E586,'M10B Order'!B:G,6,FALSE)</f>
        <v>0</v>
      </c>
    </row>
    <row r="587" spans="1:6" x14ac:dyDescent="0.2">
      <c r="A587" s="7" t="s">
        <v>1781</v>
      </c>
      <c r="B587" s="7">
        <v>587520155</v>
      </c>
      <c r="C587" s="7" t="s">
        <v>1785</v>
      </c>
      <c r="D587" s="7">
        <v>81004033484</v>
      </c>
      <c r="E587" s="7" t="s">
        <v>1784</v>
      </c>
      <c r="F587" s="2">
        <f>VLOOKUP(E587,'M10B Order'!B:G,6,FALSE)</f>
        <v>0</v>
      </c>
    </row>
    <row r="588" spans="1:6" x14ac:dyDescent="0.2">
      <c r="A588" s="7" t="s">
        <v>1781</v>
      </c>
      <c r="B588" s="7">
        <v>587520168</v>
      </c>
      <c r="C588" s="7" t="s">
        <v>1783</v>
      </c>
      <c r="D588" s="7">
        <v>81004033483</v>
      </c>
      <c r="E588" s="7" t="s">
        <v>1782</v>
      </c>
      <c r="F588" s="2">
        <f>VLOOKUP(E588,'M10B Order'!B:G,6,FALSE)</f>
        <v>0</v>
      </c>
    </row>
    <row r="589" spans="1:6" x14ac:dyDescent="0.2">
      <c r="A589" s="7" t="s">
        <v>1781</v>
      </c>
      <c r="B589" s="7">
        <v>587520147</v>
      </c>
      <c r="C589" s="7" t="s">
        <v>1780</v>
      </c>
      <c r="D589" s="7">
        <v>81004033482</v>
      </c>
      <c r="E589" s="7" t="s">
        <v>1779</v>
      </c>
      <c r="F589" s="2">
        <f>VLOOKUP(E589,'M10B Order'!B:G,6,FALSE)</f>
        <v>0</v>
      </c>
    </row>
  </sheetData>
  <sortState xmlns:xlrd2="http://schemas.microsoft.com/office/spreadsheetml/2017/richdata2" ref="A3:F466">
    <sortCondition ref="E3:E466"/>
  </sortState>
  <mergeCells count="2">
    <mergeCell ref="A1:C1"/>
    <mergeCell ref="D1:F1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J125"/>
  <sheetViews>
    <sheetView topLeftCell="A104" workbookViewId="0">
      <selection activeCell="A123" sqref="A123:XFD123"/>
    </sheetView>
  </sheetViews>
  <sheetFormatPr baseColWidth="10" defaultColWidth="9.1640625" defaultRowHeight="15" x14ac:dyDescent="0.2"/>
  <cols>
    <col min="1" max="1" width="15.83203125" style="7" customWidth="1"/>
    <col min="2" max="2" width="10" style="7" bestFit="1" customWidth="1"/>
    <col min="3" max="3" width="25.1640625" style="7" bestFit="1" customWidth="1"/>
    <col min="4" max="4" width="12" style="7" bestFit="1" customWidth="1"/>
    <col min="5" max="5" width="14.5" style="7" bestFit="1" customWidth="1"/>
    <col min="6" max="6" width="10" style="7" bestFit="1" customWidth="1"/>
    <col min="7" max="9" width="9.1640625" style="7"/>
    <col min="11" max="16384" width="9.1640625" style="7"/>
  </cols>
  <sheetData>
    <row r="1" spans="1:6" x14ac:dyDescent="0.2">
      <c r="A1" s="36" t="s">
        <v>1942</v>
      </c>
      <c r="B1" s="36"/>
      <c r="C1" s="36"/>
      <c r="D1" s="37" t="s">
        <v>1943</v>
      </c>
      <c r="E1" s="37"/>
      <c r="F1" s="37"/>
    </row>
    <row r="2" spans="1:6" x14ac:dyDescent="0.2">
      <c r="A2" s="6" t="s">
        <v>360</v>
      </c>
      <c r="B2" s="6" t="s">
        <v>0</v>
      </c>
      <c r="C2" s="6" t="s">
        <v>1</v>
      </c>
      <c r="D2" s="6" t="s">
        <v>2</v>
      </c>
      <c r="E2" s="6" t="s">
        <v>3</v>
      </c>
      <c r="F2" s="6" t="s">
        <v>366</v>
      </c>
    </row>
    <row r="3" spans="1:6" x14ac:dyDescent="0.2">
      <c r="A3" s="7" t="s">
        <v>521</v>
      </c>
      <c r="B3" s="7">
        <v>558137575</v>
      </c>
      <c r="C3" s="7" t="s">
        <v>519</v>
      </c>
      <c r="D3" s="7">
        <v>81446902764</v>
      </c>
      <c r="E3" s="7" t="s">
        <v>520</v>
      </c>
      <c r="F3" s="11">
        <f>VLOOKUP(E3,'M10B Order'!B:G,6,FALSE)</f>
        <v>0</v>
      </c>
    </row>
    <row r="4" spans="1:6" x14ac:dyDescent="0.2">
      <c r="A4" s="7" t="s">
        <v>504</v>
      </c>
      <c r="B4" s="7">
        <v>558137667</v>
      </c>
      <c r="C4" s="7" t="s">
        <v>507</v>
      </c>
      <c r="D4" s="7">
        <v>81446902798</v>
      </c>
      <c r="E4" s="7" t="s">
        <v>508</v>
      </c>
      <c r="F4" s="11">
        <f>VLOOKUP(E4,'M10B Order'!B:G,6,FALSE)</f>
        <v>0</v>
      </c>
    </row>
    <row r="5" spans="1:6" x14ac:dyDescent="0.2">
      <c r="A5" s="7" t="s">
        <v>504</v>
      </c>
      <c r="B5" s="7">
        <v>558137556</v>
      </c>
      <c r="C5" s="7" t="s">
        <v>509</v>
      </c>
      <c r="D5" s="7">
        <v>81446902799</v>
      </c>
      <c r="E5" s="7" t="s">
        <v>510</v>
      </c>
      <c r="F5" s="11">
        <f>VLOOKUP(E5,'M10B Order'!B:G,6,FALSE)</f>
        <v>0</v>
      </c>
    </row>
    <row r="6" spans="1:6" x14ac:dyDescent="0.2">
      <c r="A6" s="7" t="s">
        <v>362</v>
      </c>
      <c r="B6" s="7">
        <v>554738314</v>
      </c>
      <c r="C6" s="7" t="s">
        <v>70</v>
      </c>
      <c r="D6" s="7">
        <v>81109801230</v>
      </c>
      <c r="E6" s="7" t="s">
        <v>71</v>
      </c>
      <c r="F6" s="11">
        <f>VLOOKUP(E6,'M10B Order'!B:G,6,FALSE)</f>
        <v>0</v>
      </c>
    </row>
    <row r="7" spans="1:6" x14ac:dyDescent="0.2">
      <c r="A7" s="7" t="s">
        <v>362</v>
      </c>
      <c r="B7" s="7">
        <v>554726919</v>
      </c>
      <c r="C7" s="7" t="s">
        <v>28</v>
      </c>
      <c r="D7" s="7">
        <v>81109801284</v>
      </c>
      <c r="E7" s="7" t="s">
        <v>29</v>
      </c>
      <c r="F7" s="11">
        <f>VLOOKUP(E7,'M10B Order'!B:G,6,FALSE)</f>
        <v>0</v>
      </c>
    </row>
    <row r="8" spans="1:6" x14ac:dyDescent="0.2">
      <c r="A8" s="7" t="s">
        <v>362</v>
      </c>
      <c r="B8" s="7">
        <v>554738283</v>
      </c>
      <c r="C8" s="7" t="s">
        <v>58</v>
      </c>
      <c r="D8" s="7">
        <v>81109801003</v>
      </c>
      <c r="E8" s="7" t="s">
        <v>59</v>
      </c>
      <c r="F8" s="11">
        <f>VLOOKUP(E8,'M10B Order'!B:G,6,FALSE)</f>
        <v>0</v>
      </c>
    </row>
    <row r="9" spans="1:6" x14ac:dyDescent="0.2">
      <c r="A9" s="7" t="s">
        <v>362</v>
      </c>
      <c r="B9" s="7">
        <v>554726966</v>
      </c>
      <c r="C9" s="7" t="s">
        <v>34</v>
      </c>
      <c r="D9" s="7">
        <v>81109801220</v>
      </c>
      <c r="E9" s="7" t="s">
        <v>35</v>
      </c>
      <c r="F9" s="11">
        <f>VLOOKUP(E9,'M10B Order'!B:G,6,FALSE)</f>
        <v>0</v>
      </c>
    </row>
    <row r="10" spans="1:6" x14ac:dyDescent="0.2">
      <c r="A10" s="7" t="s">
        <v>362</v>
      </c>
      <c r="B10" s="7">
        <v>554736954</v>
      </c>
      <c r="C10" s="7" t="s">
        <v>357</v>
      </c>
      <c r="D10" s="7">
        <v>81109801239</v>
      </c>
      <c r="E10" s="7" t="s">
        <v>358</v>
      </c>
      <c r="F10" s="11">
        <f>VLOOKUP(E10,'M10B Order'!B:G,6,FALSE)</f>
        <v>0</v>
      </c>
    </row>
    <row r="11" spans="1:6" x14ac:dyDescent="0.2">
      <c r="A11" s="7" t="s">
        <v>362</v>
      </c>
      <c r="B11" s="7">
        <v>554726163</v>
      </c>
      <c r="C11" s="7" t="s">
        <v>86</v>
      </c>
      <c r="D11" s="7">
        <v>81109801286</v>
      </c>
      <c r="E11" s="7" t="s">
        <v>87</v>
      </c>
      <c r="F11" s="11">
        <f>VLOOKUP(E11,'M10B Order'!B:G,6,FALSE)</f>
        <v>0</v>
      </c>
    </row>
    <row r="12" spans="1:6" x14ac:dyDescent="0.2">
      <c r="A12" s="7" t="s">
        <v>362</v>
      </c>
      <c r="B12" s="7">
        <v>554726936</v>
      </c>
      <c r="C12" s="7" t="s">
        <v>56</v>
      </c>
      <c r="D12" s="7">
        <v>81109801242</v>
      </c>
      <c r="E12" s="7" t="s">
        <v>57</v>
      </c>
      <c r="F12" s="11">
        <f>VLOOKUP(E12,'M10B Order'!B:G,6,FALSE)</f>
        <v>0</v>
      </c>
    </row>
    <row r="13" spans="1:6" x14ac:dyDescent="0.2">
      <c r="A13" s="3" t="s">
        <v>430</v>
      </c>
      <c r="B13" s="5">
        <v>555032624</v>
      </c>
      <c r="C13" s="5" t="s">
        <v>390</v>
      </c>
      <c r="D13" s="5">
        <v>81446902293</v>
      </c>
      <c r="E13" s="5" t="s">
        <v>389</v>
      </c>
      <c r="F13" s="11">
        <f>VLOOKUP(E13,'M10B Order'!B:G,6,FALSE)</f>
        <v>0</v>
      </c>
    </row>
    <row r="14" spans="1:6" x14ac:dyDescent="0.2">
      <c r="A14" s="7" t="s">
        <v>521</v>
      </c>
      <c r="B14" s="7">
        <v>558137571</v>
      </c>
      <c r="C14" s="7" t="s">
        <v>517</v>
      </c>
      <c r="D14" s="7">
        <v>81446902762</v>
      </c>
      <c r="E14" s="7" t="s">
        <v>518</v>
      </c>
      <c r="F14" s="11">
        <f>VLOOKUP(E14,'M10B Order'!B:G,6,FALSE)</f>
        <v>0</v>
      </c>
    </row>
    <row r="15" spans="1:6" x14ac:dyDescent="0.2">
      <c r="A15" s="7" t="s">
        <v>523</v>
      </c>
      <c r="B15" s="7">
        <v>567148906</v>
      </c>
      <c r="C15" s="7" t="s">
        <v>534</v>
      </c>
      <c r="D15" s="7">
        <v>81005603318</v>
      </c>
      <c r="E15" s="7" t="s">
        <v>535</v>
      </c>
      <c r="F15" s="11">
        <f>VLOOKUP(E15,'M10B Order'!B:G,6,FALSE)</f>
        <v>0</v>
      </c>
    </row>
    <row r="16" spans="1:6" x14ac:dyDescent="0.2">
      <c r="A16" s="7" t="s">
        <v>523</v>
      </c>
      <c r="B16" s="7">
        <v>567149009</v>
      </c>
      <c r="C16" s="7" t="s">
        <v>543</v>
      </c>
      <c r="D16" s="7">
        <v>81005603292</v>
      </c>
      <c r="E16" s="7" t="s">
        <v>544</v>
      </c>
      <c r="F16" s="11">
        <f>VLOOKUP(E16,'M10B Order'!B:G,6,FALSE)</f>
        <v>0</v>
      </c>
    </row>
    <row r="17" spans="1:6" x14ac:dyDescent="0.2">
      <c r="A17" s="7" t="s">
        <v>523</v>
      </c>
      <c r="B17" s="7">
        <v>567148874</v>
      </c>
      <c r="C17" s="7" t="s">
        <v>564</v>
      </c>
      <c r="D17" s="7">
        <v>81005603368</v>
      </c>
      <c r="E17" s="7" t="s">
        <v>565</v>
      </c>
      <c r="F17" s="11">
        <f>VLOOKUP(E17,'M10B Order'!B:G,6,FALSE)</f>
        <v>0</v>
      </c>
    </row>
    <row r="18" spans="1:6" x14ac:dyDescent="0.2">
      <c r="A18" s="7" t="s">
        <v>523</v>
      </c>
      <c r="B18" s="7">
        <v>567148879</v>
      </c>
      <c r="C18" s="7" t="s">
        <v>566</v>
      </c>
      <c r="D18" s="7">
        <v>81005603335</v>
      </c>
      <c r="E18" s="7" t="s">
        <v>567</v>
      </c>
      <c r="F18" s="11">
        <f>VLOOKUP(E18,'M10B Order'!B:G,6,FALSE)</f>
        <v>0</v>
      </c>
    </row>
    <row r="19" spans="1:6" x14ac:dyDescent="0.2">
      <c r="A19" s="7" t="s">
        <v>523</v>
      </c>
      <c r="B19" s="7">
        <v>567148818</v>
      </c>
      <c r="C19" s="7" t="s">
        <v>574</v>
      </c>
      <c r="D19" s="7">
        <v>81005603316</v>
      </c>
      <c r="E19" s="7" t="s">
        <v>575</v>
      </c>
      <c r="F19" s="11">
        <f>VLOOKUP(E19,'M10B Order'!B:G,6,FALSE)</f>
        <v>0</v>
      </c>
    </row>
    <row r="20" spans="1:6" x14ac:dyDescent="0.2">
      <c r="A20" s="7" t="s">
        <v>521</v>
      </c>
      <c r="B20" s="7">
        <v>558137573</v>
      </c>
      <c r="C20" s="7" t="s">
        <v>515</v>
      </c>
      <c r="D20" s="7">
        <v>81446902768</v>
      </c>
      <c r="E20" s="7" t="s">
        <v>516</v>
      </c>
      <c r="F20" s="11">
        <f>VLOOKUP(E20,'M10B Order'!B:G,6,FALSE)</f>
        <v>0</v>
      </c>
    </row>
    <row r="21" spans="1:6" x14ac:dyDescent="0.2">
      <c r="A21" s="7" t="s">
        <v>362</v>
      </c>
      <c r="B21" s="7">
        <v>554726984</v>
      </c>
      <c r="C21" s="7" t="s">
        <v>244</v>
      </c>
      <c r="D21" s="7">
        <v>81109801270</v>
      </c>
      <c r="E21" s="7" t="s">
        <v>245</v>
      </c>
      <c r="F21" s="11">
        <f>VLOOKUP(E21,'M10B Order'!B:G,6,FALSE)</f>
        <v>0</v>
      </c>
    </row>
    <row r="22" spans="1:6" x14ac:dyDescent="0.2">
      <c r="A22" s="7" t="s">
        <v>362</v>
      </c>
      <c r="B22" s="7">
        <v>554738291</v>
      </c>
      <c r="C22" s="7" t="s">
        <v>154</v>
      </c>
      <c r="D22" s="7">
        <v>81109801257</v>
      </c>
      <c r="E22" s="7" t="s">
        <v>155</v>
      </c>
      <c r="F22" s="11">
        <f>VLOOKUP(E22,'M10B Order'!B:G,6,FALSE)</f>
        <v>0</v>
      </c>
    </row>
    <row r="23" spans="1:6" x14ac:dyDescent="0.2">
      <c r="A23" s="7" t="s">
        <v>362</v>
      </c>
      <c r="B23" s="7">
        <v>554726883</v>
      </c>
      <c r="C23" s="7" t="s">
        <v>156</v>
      </c>
      <c r="D23" s="7">
        <v>81109801223</v>
      </c>
      <c r="E23" s="7" t="s">
        <v>157</v>
      </c>
      <c r="F23" s="11">
        <f>VLOOKUP(E23,'M10B Order'!B:G,6,FALSE)</f>
        <v>0</v>
      </c>
    </row>
    <row r="24" spans="1:6" x14ac:dyDescent="0.2">
      <c r="A24" s="7" t="s">
        <v>362</v>
      </c>
      <c r="B24" s="7">
        <v>554040304</v>
      </c>
      <c r="C24" s="7" t="s">
        <v>223</v>
      </c>
      <c r="D24" s="7">
        <v>81109801264</v>
      </c>
      <c r="E24" s="7" t="s">
        <v>224</v>
      </c>
      <c r="F24" s="11">
        <f>VLOOKUP(E24,'M10B Order'!B:G,6,FALSE)</f>
        <v>0</v>
      </c>
    </row>
    <row r="25" spans="1:6" x14ac:dyDescent="0.2">
      <c r="A25" s="7" t="s">
        <v>362</v>
      </c>
      <c r="B25" s="7">
        <v>554726983</v>
      </c>
      <c r="C25" s="7" t="s">
        <v>230</v>
      </c>
      <c r="D25" s="7">
        <v>81109801256</v>
      </c>
      <c r="E25" s="7" t="s">
        <v>231</v>
      </c>
      <c r="F25" s="11">
        <f>VLOOKUP(E25,'M10B Order'!B:G,6,FALSE)</f>
        <v>0</v>
      </c>
    </row>
    <row r="26" spans="1:6" x14ac:dyDescent="0.2">
      <c r="A26" s="7" t="s">
        <v>362</v>
      </c>
      <c r="B26" s="7">
        <v>554726356</v>
      </c>
      <c r="C26" s="7" t="s">
        <v>209</v>
      </c>
      <c r="D26" s="7">
        <v>81109801253</v>
      </c>
      <c r="E26" s="7" t="s">
        <v>210</v>
      </c>
      <c r="F26" s="11">
        <f>VLOOKUP(E26,'M10B Order'!B:G,6,FALSE)</f>
        <v>0</v>
      </c>
    </row>
    <row r="27" spans="1:6" x14ac:dyDescent="0.2">
      <c r="A27" s="3" t="s">
        <v>430</v>
      </c>
      <c r="B27" s="5">
        <v>555032615</v>
      </c>
      <c r="C27" s="5" t="s">
        <v>398</v>
      </c>
      <c r="D27" s="5">
        <v>81446902302</v>
      </c>
      <c r="E27" s="5" t="s">
        <v>397</v>
      </c>
      <c r="F27" s="11">
        <f>VLOOKUP(E27,'M10B Order'!B:G,6,FALSE)</f>
        <v>0</v>
      </c>
    </row>
    <row r="28" spans="1:6" x14ac:dyDescent="0.2">
      <c r="A28" s="3" t="s">
        <v>430</v>
      </c>
      <c r="B28" s="5">
        <v>555032660</v>
      </c>
      <c r="C28" s="5" t="s">
        <v>377</v>
      </c>
      <c r="D28" s="5">
        <v>81446902303</v>
      </c>
      <c r="E28" s="5" t="s">
        <v>376</v>
      </c>
      <c r="F28" s="11">
        <f>VLOOKUP(E28,'M10B Order'!B:G,6,FALSE)</f>
        <v>0</v>
      </c>
    </row>
    <row r="29" spans="1:6" x14ac:dyDescent="0.2">
      <c r="A29" s="7" t="s">
        <v>364</v>
      </c>
      <c r="B29" s="7">
        <v>554919951</v>
      </c>
      <c r="C29" s="7" t="s">
        <v>175</v>
      </c>
      <c r="D29" s="8">
        <v>81109801877</v>
      </c>
      <c r="E29" s="7" t="s">
        <v>176</v>
      </c>
      <c r="F29" s="11">
        <f>VLOOKUP(E29,'M10B Order'!B:G,6,FALSE)</f>
        <v>0</v>
      </c>
    </row>
    <row r="30" spans="1:6" x14ac:dyDescent="0.2">
      <c r="A30" s="7" t="s">
        <v>364</v>
      </c>
      <c r="B30" s="7">
        <v>554919887</v>
      </c>
      <c r="C30" s="7" t="s">
        <v>185</v>
      </c>
      <c r="D30" s="8">
        <v>81109801807</v>
      </c>
      <c r="E30" s="7" t="s">
        <v>186</v>
      </c>
      <c r="F30" s="11">
        <f>VLOOKUP(E30,'M10B Order'!B:G,6,FALSE)</f>
        <v>0</v>
      </c>
    </row>
    <row r="31" spans="1:6" x14ac:dyDescent="0.2">
      <c r="A31" s="7" t="s">
        <v>364</v>
      </c>
      <c r="B31" s="7">
        <v>554919906</v>
      </c>
      <c r="C31" s="7" t="s">
        <v>250</v>
      </c>
      <c r="D31" s="8">
        <v>81109801827</v>
      </c>
      <c r="E31" s="7" t="s">
        <v>251</v>
      </c>
      <c r="F31" s="11">
        <f>VLOOKUP(E31,'M10B Order'!B:G,6,FALSE)</f>
        <v>0</v>
      </c>
    </row>
    <row r="32" spans="1:6" x14ac:dyDescent="0.2">
      <c r="A32" s="7" t="s">
        <v>362</v>
      </c>
      <c r="B32" s="7">
        <v>554738262</v>
      </c>
      <c r="C32" s="7" t="s">
        <v>183</v>
      </c>
      <c r="D32" s="7">
        <v>81109801243</v>
      </c>
      <c r="E32" s="7" t="s">
        <v>184</v>
      </c>
      <c r="F32" s="11">
        <f>VLOOKUP(E32,'M10B Order'!B:G,6,FALSE)</f>
        <v>0</v>
      </c>
    </row>
    <row r="33" spans="1:10" x14ac:dyDescent="0.2">
      <c r="A33" s="7" t="s">
        <v>362</v>
      </c>
      <c r="B33" s="7">
        <v>554040401</v>
      </c>
      <c r="C33" s="7" t="s">
        <v>195</v>
      </c>
      <c r="D33" s="7">
        <v>81109801280</v>
      </c>
      <c r="E33" s="7" t="s">
        <v>196</v>
      </c>
      <c r="F33" s="11">
        <f>VLOOKUP(E33,'M10B Order'!B:G,6,FALSE)</f>
        <v>0</v>
      </c>
    </row>
    <row r="34" spans="1:10" x14ac:dyDescent="0.2">
      <c r="A34" s="7" t="s">
        <v>362</v>
      </c>
      <c r="B34" s="7">
        <v>554738259</v>
      </c>
      <c r="C34" s="7" t="s">
        <v>213</v>
      </c>
      <c r="D34" s="7">
        <v>81109801222</v>
      </c>
      <c r="E34" s="7" t="s">
        <v>214</v>
      </c>
      <c r="F34" s="11">
        <f>VLOOKUP(E34,'M10B Order'!B:G,6,FALSE)</f>
        <v>0</v>
      </c>
    </row>
    <row r="35" spans="1:10" x14ac:dyDescent="0.2">
      <c r="A35" s="7" t="s">
        <v>362</v>
      </c>
      <c r="B35" s="7">
        <v>554738247</v>
      </c>
      <c r="C35" s="7" t="s">
        <v>118</v>
      </c>
      <c r="D35" s="7">
        <v>81109801228</v>
      </c>
      <c r="E35" s="7" t="s">
        <v>119</v>
      </c>
      <c r="F35" s="11">
        <f>VLOOKUP(E35,'M10B Order'!B:G,6,FALSE)</f>
        <v>0</v>
      </c>
    </row>
    <row r="36" spans="1:10" x14ac:dyDescent="0.2">
      <c r="A36" s="7" t="s">
        <v>362</v>
      </c>
      <c r="B36" s="7">
        <v>554726699</v>
      </c>
      <c r="C36" s="7" t="s">
        <v>136</v>
      </c>
      <c r="D36" s="7">
        <v>81109801224</v>
      </c>
      <c r="E36" s="7" t="s">
        <v>137</v>
      </c>
      <c r="F36" s="11">
        <f>VLOOKUP(E36,'M10B Order'!B:G,6,FALSE)</f>
        <v>0</v>
      </c>
    </row>
    <row r="37" spans="1:10" x14ac:dyDescent="0.2">
      <c r="A37" s="7" t="s">
        <v>362</v>
      </c>
      <c r="B37" s="7">
        <v>554726641</v>
      </c>
      <c r="C37" s="7" t="s">
        <v>246</v>
      </c>
      <c r="D37" s="7">
        <v>81109801249</v>
      </c>
      <c r="E37" s="7" t="s">
        <v>247</v>
      </c>
      <c r="F37" s="11">
        <f>VLOOKUP(E37,'M10B Order'!B:G,6,FALSE)</f>
        <v>0</v>
      </c>
    </row>
    <row r="38" spans="1:10" x14ac:dyDescent="0.2">
      <c r="A38" s="7" t="s">
        <v>362</v>
      </c>
      <c r="B38" s="7">
        <v>554726560</v>
      </c>
      <c r="C38" s="7" t="s">
        <v>114</v>
      </c>
      <c r="D38" s="7">
        <v>81109801237</v>
      </c>
      <c r="E38" s="7" t="s">
        <v>115</v>
      </c>
      <c r="F38" s="11">
        <f>VLOOKUP(E38,'M10B Order'!B:G,6,FALSE)</f>
        <v>0</v>
      </c>
    </row>
    <row r="39" spans="1:10" x14ac:dyDescent="0.2">
      <c r="A39" s="7" t="s">
        <v>363</v>
      </c>
      <c r="B39" s="7">
        <v>554919816</v>
      </c>
      <c r="C39" s="7" t="s">
        <v>339</v>
      </c>
      <c r="D39" s="7">
        <v>81109801035</v>
      </c>
      <c r="E39" s="7" t="s">
        <v>340</v>
      </c>
      <c r="F39" s="11">
        <f>VLOOKUP(E39,'M10B Order'!B:G,6,FALSE)</f>
        <v>0</v>
      </c>
    </row>
    <row r="40" spans="1:10" x14ac:dyDescent="0.2">
      <c r="A40" s="7" t="s">
        <v>363</v>
      </c>
      <c r="B40" s="7">
        <v>554919821</v>
      </c>
      <c r="C40" s="7" t="s">
        <v>321</v>
      </c>
      <c r="D40" s="7">
        <v>81109801005</v>
      </c>
      <c r="E40" s="7" t="s">
        <v>322</v>
      </c>
      <c r="F40" s="11">
        <f>VLOOKUP(E40,'M10B Order'!B:G,6,FALSE)</f>
        <v>0</v>
      </c>
    </row>
    <row r="41" spans="1:10" x14ac:dyDescent="0.2">
      <c r="A41" s="7" t="s">
        <v>363</v>
      </c>
      <c r="B41" s="7">
        <v>554919819</v>
      </c>
      <c r="C41" s="7" t="s">
        <v>325</v>
      </c>
      <c r="D41" s="7">
        <v>81109801042</v>
      </c>
      <c r="E41" s="7" t="s">
        <v>326</v>
      </c>
      <c r="F41" s="11">
        <f>VLOOKUP(E41,'M10B Order'!B:G,6,FALSE)</f>
        <v>0</v>
      </c>
    </row>
    <row r="42" spans="1:10" x14ac:dyDescent="0.2">
      <c r="A42" s="7" t="s">
        <v>364</v>
      </c>
      <c r="B42" s="7">
        <v>554919908</v>
      </c>
      <c r="C42" s="7" t="s">
        <v>124</v>
      </c>
      <c r="D42" s="8">
        <v>81109801830</v>
      </c>
      <c r="E42" s="7" t="s">
        <v>125</v>
      </c>
      <c r="F42" s="11">
        <f>VLOOKUP(E42,'M10B Order'!B:G,6,FALSE)</f>
        <v>0</v>
      </c>
    </row>
    <row r="43" spans="1:10" x14ac:dyDescent="0.2">
      <c r="A43" s="7" t="s">
        <v>504</v>
      </c>
      <c r="B43" s="7">
        <v>558137537</v>
      </c>
      <c r="C43" s="7" t="s">
        <v>505</v>
      </c>
      <c r="D43" s="7">
        <v>81446902796</v>
      </c>
      <c r="E43" s="7" t="s">
        <v>506</v>
      </c>
      <c r="F43" s="11">
        <f>VLOOKUP(E43,'M10B Order'!B:G,6,FALSE)</f>
        <v>0</v>
      </c>
    </row>
    <row r="44" spans="1:10" x14ac:dyDescent="0.2">
      <c r="A44" s="7" t="s">
        <v>521</v>
      </c>
      <c r="B44" s="7">
        <v>558137572</v>
      </c>
      <c r="C44" s="7" t="s">
        <v>511</v>
      </c>
      <c r="D44" s="7">
        <v>81446902760</v>
      </c>
      <c r="E44" s="7" t="s">
        <v>512</v>
      </c>
      <c r="F44" s="11">
        <f>VLOOKUP(E44,'M10B Order'!B:G,6,FALSE)</f>
        <v>0</v>
      </c>
    </row>
    <row r="45" spans="1:10" x14ac:dyDescent="0.2">
      <c r="A45" s="7" t="s">
        <v>521</v>
      </c>
      <c r="B45" s="7">
        <v>558137576</v>
      </c>
      <c r="C45" s="7" t="s">
        <v>513</v>
      </c>
      <c r="D45" s="7">
        <v>81446902772</v>
      </c>
      <c r="E45" s="7" t="s">
        <v>514</v>
      </c>
      <c r="F45" s="11">
        <f>VLOOKUP(E45,'M10B Order'!B:G,6,FALSE)</f>
        <v>0</v>
      </c>
    </row>
    <row r="46" spans="1:10" x14ac:dyDescent="0.2">
      <c r="A46" s="7" t="s">
        <v>523</v>
      </c>
      <c r="B46" s="7">
        <v>569033503</v>
      </c>
      <c r="C46" s="7" t="s">
        <v>724</v>
      </c>
      <c r="D46" s="7">
        <v>81005603703</v>
      </c>
      <c r="E46" s="7" t="s">
        <v>723</v>
      </c>
      <c r="F46" s="11">
        <f>VLOOKUP(E46,'M10B Order'!B:G,6,FALSE)</f>
        <v>0</v>
      </c>
      <c r="J46" s="7"/>
    </row>
    <row r="47" spans="1:10" x14ac:dyDescent="0.2">
      <c r="A47" s="7" t="s">
        <v>523</v>
      </c>
      <c r="B47" s="7">
        <v>569042321</v>
      </c>
      <c r="C47" s="7" t="s">
        <v>726</v>
      </c>
      <c r="D47" s="7">
        <v>81005603677</v>
      </c>
      <c r="E47" s="7" t="s">
        <v>725</v>
      </c>
      <c r="F47" s="11">
        <f>VLOOKUP(E47,'M10B Order'!B:G,6,FALSE)</f>
        <v>0</v>
      </c>
      <c r="J47" s="7"/>
    </row>
    <row r="48" spans="1:10" x14ac:dyDescent="0.2">
      <c r="A48" s="7" t="s">
        <v>362</v>
      </c>
      <c r="B48" s="7">
        <v>554737851</v>
      </c>
      <c r="C48" s="7" t="s">
        <v>92</v>
      </c>
      <c r="D48" s="7">
        <v>81109801111</v>
      </c>
      <c r="E48" s="7" t="s">
        <v>93</v>
      </c>
      <c r="F48" s="11">
        <f>VLOOKUP(E48,'M10B Order'!B:G,6,FALSE)</f>
        <v>0</v>
      </c>
    </row>
    <row r="49" spans="1:6" x14ac:dyDescent="0.2">
      <c r="A49" s="7" t="s">
        <v>362</v>
      </c>
      <c r="B49" s="7">
        <v>554737658</v>
      </c>
      <c r="C49" s="7" t="s">
        <v>46</v>
      </c>
      <c r="D49" s="7">
        <v>81109801067</v>
      </c>
      <c r="E49" s="7" t="s">
        <v>47</v>
      </c>
      <c r="F49" s="11">
        <f>VLOOKUP(E49,'M10B Order'!B:G,6,FALSE)</f>
        <v>0</v>
      </c>
    </row>
    <row r="50" spans="1:6" x14ac:dyDescent="0.2">
      <c r="A50" s="7" t="s">
        <v>362</v>
      </c>
      <c r="B50" s="7">
        <v>554738346</v>
      </c>
      <c r="C50" s="7" t="s">
        <v>74</v>
      </c>
      <c r="D50" s="7">
        <v>81109801298</v>
      </c>
      <c r="E50" s="7" t="s">
        <v>75</v>
      </c>
      <c r="F50" s="11">
        <f>VLOOKUP(E50,'M10B Order'!B:G,6,FALSE)</f>
        <v>0</v>
      </c>
    </row>
    <row r="51" spans="1:6" x14ac:dyDescent="0.2">
      <c r="A51" s="7" t="s">
        <v>362</v>
      </c>
      <c r="B51" s="7">
        <v>554737910</v>
      </c>
      <c r="C51" s="7" t="s">
        <v>62</v>
      </c>
      <c r="D51" s="7">
        <v>81109801095</v>
      </c>
      <c r="E51" s="7" t="s">
        <v>63</v>
      </c>
      <c r="F51" s="11">
        <f>VLOOKUP(E51,'M10B Order'!B:G,6,FALSE)</f>
        <v>0</v>
      </c>
    </row>
    <row r="52" spans="1:6" x14ac:dyDescent="0.2">
      <c r="A52" s="7" t="s">
        <v>362</v>
      </c>
      <c r="B52" s="7">
        <v>554715479</v>
      </c>
      <c r="C52" s="7" t="s">
        <v>80</v>
      </c>
      <c r="D52" s="7">
        <v>81109801089</v>
      </c>
      <c r="E52" s="7" t="s">
        <v>81</v>
      </c>
      <c r="F52" s="11">
        <f>VLOOKUP(E52,'M10B Order'!B:G,6,FALSE)</f>
        <v>0</v>
      </c>
    </row>
    <row r="53" spans="1:6" x14ac:dyDescent="0.2">
      <c r="A53" s="7" t="s">
        <v>362</v>
      </c>
      <c r="B53" s="7">
        <v>554737610</v>
      </c>
      <c r="C53" s="7" t="s">
        <v>78</v>
      </c>
      <c r="D53" s="7">
        <v>81109801018</v>
      </c>
      <c r="E53" s="7" t="s">
        <v>79</v>
      </c>
      <c r="F53" s="11">
        <f>VLOOKUP(E53,'M10B Order'!B:G,6,FALSE)</f>
        <v>0</v>
      </c>
    </row>
    <row r="54" spans="1:6" x14ac:dyDescent="0.2">
      <c r="A54" s="7" t="s">
        <v>362</v>
      </c>
      <c r="B54" s="7">
        <v>554737858</v>
      </c>
      <c r="C54" s="7" t="s">
        <v>36</v>
      </c>
      <c r="D54" s="7">
        <v>81109801023</v>
      </c>
      <c r="E54" s="7" t="s">
        <v>37</v>
      </c>
      <c r="F54" s="11">
        <f>VLOOKUP(E54,'M10B Order'!B:G,6,FALSE)</f>
        <v>0</v>
      </c>
    </row>
    <row r="55" spans="1:6" x14ac:dyDescent="0.2">
      <c r="A55" s="7" t="s">
        <v>362</v>
      </c>
      <c r="B55" s="7">
        <v>554737899</v>
      </c>
      <c r="C55" s="7" t="s">
        <v>44</v>
      </c>
      <c r="D55" s="7">
        <v>81109801098</v>
      </c>
      <c r="E55" s="7" t="s">
        <v>45</v>
      </c>
      <c r="F55" s="11">
        <f>VLOOKUP(E55,'M10B Order'!B:G,6,FALSE)</f>
        <v>0</v>
      </c>
    </row>
    <row r="56" spans="1:6" x14ac:dyDescent="0.2">
      <c r="A56" s="7" t="s">
        <v>362</v>
      </c>
      <c r="B56" s="7">
        <v>554738338</v>
      </c>
      <c r="C56" s="7" t="s">
        <v>66</v>
      </c>
      <c r="D56" s="7">
        <v>81109801109</v>
      </c>
      <c r="E56" s="7" t="s">
        <v>67</v>
      </c>
      <c r="F56" s="11">
        <f>VLOOKUP(E56,'M10B Order'!B:G,6,FALSE)</f>
        <v>0</v>
      </c>
    </row>
    <row r="57" spans="1:6" x14ac:dyDescent="0.2">
      <c r="A57" s="7" t="s">
        <v>362</v>
      </c>
      <c r="B57" s="7">
        <v>554738321</v>
      </c>
      <c r="C57" s="7" t="s">
        <v>72</v>
      </c>
      <c r="D57" s="7">
        <v>81109801056</v>
      </c>
      <c r="E57" s="7" t="s">
        <v>73</v>
      </c>
      <c r="F57" s="11">
        <f>VLOOKUP(E57,'M10B Order'!B:G,6,FALSE)</f>
        <v>0</v>
      </c>
    </row>
    <row r="58" spans="1:6" x14ac:dyDescent="0.2">
      <c r="A58" s="7" t="s">
        <v>362</v>
      </c>
      <c r="B58" s="7">
        <v>554715476</v>
      </c>
      <c r="C58" s="7" t="s">
        <v>171</v>
      </c>
      <c r="D58" s="7">
        <v>81109801055</v>
      </c>
      <c r="E58" s="7" t="s">
        <v>172</v>
      </c>
      <c r="F58" s="11">
        <f>VLOOKUP(E58,'M10B Order'!B:G,6,FALSE)</f>
        <v>0</v>
      </c>
    </row>
    <row r="59" spans="1:6" x14ac:dyDescent="0.2">
      <c r="A59" s="7" t="s">
        <v>362</v>
      </c>
      <c r="B59" s="7">
        <v>554737884</v>
      </c>
      <c r="C59" s="7" t="s">
        <v>181</v>
      </c>
      <c r="D59" s="7">
        <v>81109801283</v>
      </c>
      <c r="E59" s="7" t="s">
        <v>182</v>
      </c>
      <c r="F59" s="11">
        <f>VLOOKUP(E59,'M10B Order'!B:G,6,FALSE)</f>
        <v>0</v>
      </c>
    </row>
    <row r="60" spans="1:6" x14ac:dyDescent="0.2">
      <c r="A60" s="7" t="s">
        <v>362</v>
      </c>
      <c r="B60" s="7">
        <v>554738345</v>
      </c>
      <c r="C60" s="7" t="s">
        <v>238</v>
      </c>
      <c r="D60" s="7">
        <v>81109801099</v>
      </c>
      <c r="E60" s="7" t="s">
        <v>239</v>
      </c>
      <c r="F60" s="11">
        <f>VLOOKUP(E60,'M10B Order'!B:G,6,FALSE)</f>
        <v>0</v>
      </c>
    </row>
    <row r="61" spans="1:6" x14ac:dyDescent="0.2">
      <c r="A61" s="7" t="s">
        <v>362</v>
      </c>
      <c r="B61" s="7">
        <v>554738322</v>
      </c>
      <c r="C61" s="7" t="s">
        <v>203</v>
      </c>
      <c r="D61" s="7">
        <v>81109801094</v>
      </c>
      <c r="E61" s="7" t="s">
        <v>204</v>
      </c>
      <c r="F61" s="11">
        <f>VLOOKUP(E61,'M10B Order'!B:G,6,FALSE)</f>
        <v>0</v>
      </c>
    </row>
    <row r="62" spans="1:6" x14ac:dyDescent="0.2">
      <c r="A62" s="7" t="s">
        <v>362</v>
      </c>
      <c r="B62" s="7">
        <v>554715477</v>
      </c>
      <c r="C62" s="7" t="s">
        <v>201</v>
      </c>
      <c r="D62" s="7">
        <v>81109801107</v>
      </c>
      <c r="E62" s="7" t="s">
        <v>202</v>
      </c>
      <c r="F62" s="11">
        <f>VLOOKUP(E62,'M10B Order'!B:G,6,FALSE)</f>
        <v>0</v>
      </c>
    </row>
    <row r="63" spans="1:6" x14ac:dyDescent="0.2">
      <c r="A63" s="7" t="s">
        <v>362</v>
      </c>
      <c r="B63" s="7">
        <v>554714737</v>
      </c>
      <c r="C63" s="7" t="s">
        <v>207</v>
      </c>
      <c r="D63" s="7">
        <v>81109801090</v>
      </c>
      <c r="E63" s="7" t="s">
        <v>208</v>
      </c>
      <c r="F63" s="11">
        <f>VLOOKUP(E63,'M10B Order'!B:G,6,FALSE)</f>
        <v>0</v>
      </c>
    </row>
    <row r="64" spans="1:6" x14ac:dyDescent="0.2">
      <c r="A64" s="7" t="s">
        <v>362</v>
      </c>
      <c r="B64" s="7">
        <v>554737707</v>
      </c>
      <c r="C64" s="7" t="s">
        <v>197</v>
      </c>
      <c r="D64" s="7">
        <v>81109801040</v>
      </c>
      <c r="E64" s="7" t="s">
        <v>198</v>
      </c>
      <c r="F64" s="11">
        <f>VLOOKUP(E64,'M10B Order'!B:G,6,FALSE)</f>
        <v>0</v>
      </c>
    </row>
    <row r="65" spans="1:6" x14ac:dyDescent="0.2">
      <c r="A65" s="7" t="s">
        <v>362</v>
      </c>
      <c r="B65" s="7">
        <v>554737764</v>
      </c>
      <c r="C65" s="7" t="s">
        <v>295</v>
      </c>
      <c r="D65" s="7">
        <v>81109801101</v>
      </c>
      <c r="E65" s="7" t="s">
        <v>296</v>
      </c>
      <c r="F65" s="11">
        <f>VLOOKUP(E65,'M10B Order'!B:G,6,FALSE)</f>
        <v>0</v>
      </c>
    </row>
    <row r="66" spans="1:6" x14ac:dyDescent="0.2">
      <c r="A66" s="7" t="s">
        <v>362</v>
      </c>
      <c r="B66" s="7">
        <v>554737785</v>
      </c>
      <c r="C66" s="7" t="s">
        <v>187</v>
      </c>
      <c r="D66" s="7">
        <v>81109801102</v>
      </c>
      <c r="E66" s="7" t="s">
        <v>188</v>
      </c>
      <c r="F66" s="11">
        <f>VLOOKUP(E66,'M10B Order'!B:G,6,FALSE)</f>
        <v>0</v>
      </c>
    </row>
    <row r="67" spans="1:6" x14ac:dyDescent="0.2">
      <c r="A67" s="7" t="s">
        <v>362</v>
      </c>
      <c r="B67" s="7">
        <v>554737850</v>
      </c>
      <c r="C67" s="7" t="s">
        <v>279</v>
      </c>
      <c r="D67" s="7">
        <v>81109801068</v>
      </c>
      <c r="E67" s="7" t="s">
        <v>280</v>
      </c>
      <c r="F67" s="11">
        <f>VLOOKUP(E67,'M10B Order'!B:G,6,FALSE)</f>
        <v>0</v>
      </c>
    </row>
    <row r="68" spans="1:6" x14ac:dyDescent="0.2">
      <c r="A68" s="7" t="s">
        <v>362</v>
      </c>
      <c r="B68" s="7">
        <v>554737890</v>
      </c>
      <c r="C68" s="7" t="s">
        <v>217</v>
      </c>
      <c r="D68" s="7">
        <v>81109801096</v>
      </c>
      <c r="E68" s="7" t="s">
        <v>218</v>
      </c>
      <c r="F68" s="11">
        <f>VLOOKUP(E68,'M10B Order'!B:G,6,FALSE)</f>
        <v>0</v>
      </c>
    </row>
    <row r="69" spans="1:6" x14ac:dyDescent="0.2">
      <c r="A69" s="7" t="s">
        <v>362</v>
      </c>
      <c r="B69" s="7">
        <v>554738014</v>
      </c>
      <c r="C69" s="7" t="s">
        <v>258</v>
      </c>
      <c r="D69" s="7">
        <v>81109801025</v>
      </c>
      <c r="E69" s="7" t="s">
        <v>259</v>
      </c>
      <c r="F69" s="11">
        <f>VLOOKUP(E69,'M10B Order'!B:G,6,FALSE)</f>
        <v>0</v>
      </c>
    </row>
    <row r="70" spans="1:6" x14ac:dyDescent="0.2">
      <c r="A70" s="7" t="s">
        <v>974</v>
      </c>
      <c r="B70" s="7">
        <v>573626657</v>
      </c>
      <c r="C70" s="7" t="s">
        <v>1014</v>
      </c>
      <c r="D70" s="7">
        <v>81000139129</v>
      </c>
      <c r="E70" s="7" t="s">
        <v>1013</v>
      </c>
      <c r="F70" s="11">
        <f>VLOOKUP(E70,'M10B Order'!B:G,6,FALSE)</f>
        <v>0</v>
      </c>
    </row>
    <row r="71" spans="1:6" x14ac:dyDescent="0.2">
      <c r="A71" s="7" t="s">
        <v>974</v>
      </c>
      <c r="B71" s="7">
        <v>573626619</v>
      </c>
      <c r="C71" s="7" t="s">
        <v>1007</v>
      </c>
      <c r="D71" s="7">
        <v>81000139139</v>
      </c>
      <c r="E71" s="7" t="s">
        <v>1006</v>
      </c>
      <c r="F71" s="11">
        <f>VLOOKUP(E71,'M10B Order'!B:G,6,FALSE)</f>
        <v>0</v>
      </c>
    </row>
    <row r="72" spans="1:6" x14ac:dyDescent="0.2">
      <c r="A72" s="7" t="s">
        <v>974</v>
      </c>
      <c r="B72" s="7">
        <v>573626652</v>
      </c>
      <c r="C72" s="7" t="s">
        <v>1005</v>
      </c>
      <c r="D72" s="7">
        <v>81000139131</v>
      </c>
      <c r="E72" s="7" t="s">
        <v>1004</v>
      </c>
      <c r="F72" s="11">
        <f>VLOOKUP(E72,'M10B Order'!B:G,6,FALSE)</f>
        <v>0</v>
      </c>
    </row>
    <row r="73" spans="1:6" x14ac:dyDescent="0.2">
      <c r="A73" s="7" t="s">
        <v>974</v>
      </c>
      <c r="B73" s="7">
        <v>573626620</v>
      </c>
      <c r="C73" s="7" t="s">
        <v>986</v>
      </c>
      <c r="D73" s="7">
        <v>81000139134</v>
      </c>
      <c r="E73" s="7" t="s">
        <v>985</v>
      </c>
      <c r="F73" s="11">
        <f>VLOOKUP(E73,'M10B Order'!B:G,6,FALSE)</f>
        <v>0</v>
      </c>
    </row>
    <row r="74" spans="1:6" x14ac:dyDescent="0.2">
      <c r="A74" s="7" t="s">
        <v>974</v>
      </c>
      <c r="B74" s="7">
        <v>573626686</v>
      </c>
      <c r="C74" s="7" t="s">
        <v>982</v>
      </c>
      <c r="D74" s="7">
        <v>81000139143</v>
      </c>
      <c r="E74" s="7" t="s">
        <v>981</v>
      </c>
      <c r="F74" s="11">
        <f>VLOOKUP(E74,'M10B Order'!B:G,6,FALSE)</f>
        <v>0</v>
      </c>
    </row>
    <row r="75" spans="1:6" x14ac:dyDescent="0.2">
      <c r="A75" s="7" t="s">
        <v>974</v>
      </c>
      <c r="B75" s="7">
        <v>573626650</v>
      </c>
      <c r="C75" s="7" t="s">
        <v>976</v>
      </c>
      <c r="D75" s="7">
        <v>81000139126</v>
      </c>
      <c r="E75" s="7" t="s">
        <v>975</v>
      </c>
      <c r="F75" s="11">
        <f>VLOOKUP(E75,'M10B Order'!B:G,6,FALSE)</f>
        <v>0</v>
      </c>
    </row>
    <row r="76" spans="1:6" x14ac:dyDescent="0.2">
      <c r="A76" s="7" t="s">
        <v>847</v>
      </c>
      <c r="B76" s="7">
        <v>573626695</v>
      </c>
      <c r="C76" s="7" t="s">
        <v>953</v>
      </c>
      <c r="D76" s="7">
        <v>81000139076</v>
      </c>
      <c r="E76" s="7" t="s">
        <v>952</v>
      </c>
      <c r="F76" s="11">
        <f>VLOOKUP(E76,'M10B Order'!B:G,6,FALSE)</f>
        <v>0</v>
      </c>
    </row>
    <row r="77" spans="1:6" x14ac:dyDescent="0.2">
      <c r="A77" s="7" t="s">
        <v>847</v>
      </c>
      <c r="B77" s="7">
        <v>573626621</v>
      </c>
      <c r="C77" s="7" t="s">
        <v>935</v>
      </c>
      <c r="D77" s="7">
        <v>81000139098</v>
      </c>
      <c r="E77" s="7" t="s">
        <v>934</v>
      </c>
      <c r="F77" s="11">
        <f>VLOOKUP(E77,'M10B Order'!B:G,6,FALSE)</f>
        <v>0</v>
      </c>
    </row>
    <row r="78" spans="1:6" x14ac:dyDescent="0.2">
      <c r="A78" s="7" t="s">
        <v>847</v>
      </c>
      <c r="B78" s="7">
        <v>573626635</v>
      </c>
      <c r="C78" s="7" t="s">
        <v>933</v>
      </c>
      <c r="D78" s="7">
        <v>81000139106</v>
      </c>
      <c r="E78" s="7" t="s">
        <v>932</v>
      </c>
      <c r="F78" s="11">
        <f>VLOOKUP(E78,'M10B Order'!B:G,6,FALSE)</f>
        <v>0</v>
      </c>
    </row>
    <row r="79" spans="1:6" x14ac:dyDescent="0.2">
      <c r="A79" s="7" t="s">
        <v>847</v>
      </c>
      <c r="B79" s="7">
        <v>573626508</v>
      </c>
      <c r="C79" s="7" t="s">
        <v>857</v>
      </c>
      <c r="D79" s="7">
        <v>81000139111</v>
      </c>
      <c r="E79" s="7" t="s">
        <v>856</v>
      </c>
      <c r="F79" s="11">
        <f>VLOOKUP(E79,'M10B Order'!B:G,6,FALSE)</f>
        <v>0</v>
      </c>
    </row>
    <row r="80" spans="1:6" x14ac:dyDescent="0.2">
      <c r="A80" s="7" t="s">
        <v>792</v>
      </c>
      <c r="B80" s="7">
        <v>573626484</v>
      </c>
      <c r="C80" s="7" t="s">
        <v>816</v>
      </c>
      <c r="D80" s="7">
        <v>81000139165</v>
      </c>
      <c r="E80" s="7" t="s">
        <v>815</v>
      </c>
      <c r="F80" s="11">
        <f>VLOOKUP(E80,'M10B Order'!B:G,6,FALSE)</f>
        <v>0</v>
      </c>
    </row>
    <row r="81" spans="1:10" x14ac:dyDescent="0.2">
      <c r="A81" s="7" t="s">
        <v>772</v>
      </c>
      <c r="B81" s="7">
        <v>573626517</v>
      </c>
      <c r="C81" s="7" t="s">
        <v>780</v>
      </c>
      <c r="D81" s="7">
        <v>81000139077</v>
      </c>
      <c r="E81" s="7" t="s">
        <v>779</v>
      </c>
      <c r="F81" s="11">
        <f>VLOOKUP(E81,'M10B Order'!B:G,6,FALSE)</f>
        <v>0</v>
      </c>
    </row>
    <row r="82" spans="1:10" x14ac:dyDescent="0.2">
      <c r="A82" s="7" t="s">
        <v>772</v>
      </c>
      <c r="B82" s="7">
        <v>573626504</v>
      </c>
      <c r="C82" s="7" t="s">
        <v>778</v>
      </c>
      <c r="D82" s="7">
        <v>81000139067</v>
      </c>
      <c r="E82" s="7" t="s">
        <v>777</v>
      </c>
      <c r="F82" s="11">
        <f>VLOOKUP(E82,'M10B Order'!B:G,6,FALSE)</f>
        <v>0</v>
      </c>
    </row>
    <row r="83" spans="1:10" x14ac:dyDescent="0.2">
      <c r="A83" s="7" t="s">
        <v>1147</v>
      </c>
      <c r="B83" s="7">
        <v>579058109</v>
      </c>
      <c r="C83" s="7" t="s">
        <v>1205</v>
      </c>
      <c r="D83" s="7">
        <v>81000139791</v>
      </c>
      <c r="E83" s="7" t="s">
        <v>1204</v>
      </c>
      <c r="F83" s="11">
        <f>VLOOKUP(E83,'M10B Order'!B:G,6,FALSE)</f>
        <v>0</v>
      </c>
    </row>
    <row r="84" spans="1:10" x14ac:dyDescent="0.2">
      <c r="A84" s="7" t="s">
        <v>1147</v>
      </c>
      <c r="B84" s="7">
        <v>579058033</v>
      </c>
      <c r="C84" s="7" t="s">
        <v>1211</v>
      </c>
      <c r="D84" s="7">
        <v>81000139790</v>
      </c>
      <c r="E84" s="7" t="s">
        <v>1210</v>
      </c>
      <c r="F84" s="11">
        <f>VLOOKUP(E84,'M10B Order'!B:G,6,FALSE)</f>
        <v>0</v>
      </c>
    </row>
    <row r="85" spans="1:10" x14ac:dyDescent="0.2">
      <c r="A85" s="7" t="s">
        <v>1378</v>
      </c>
      <c r="B85" s="7">
        <v>579058029</v>
      </c>
      <c r="C85" s="7" t="s">
        <v>1452</v>
      </c>
      <c r="D85" s="7">
        <v>81000139844</v>
      </c>
      <c r="E85" s="7" t="s">
        <v>1451</v>
      </c>
      <c r="F85" s="11">
        <f>VLOOKUP(E85,'M10B Order'!B:G,6,FALSE)</f>
        <v>0</v>
      </c>
    </row>
    <row r="86" spans="1:10" x14ac:dyDescent="0.2">
      <c r="A86" s="7" t="s">
        <v>1378</v>
      </c>
      <c r="B86" s="7">
        <v>579058038</v>
      </c>
      <c r="C86" s="7" t="s">
        <v>1460</v>
      </c>
      <c r="D86" s="7">
        <v>81000139842</v>
      </c>
      <c r="E86" s="7" t="s">
        <v>1459</v>
      </c>
      <c r="F86" s="11">
        <f>VLOOKUP(E86,'M10B Order'!B:G,6,FALSE)</f>
        <v>0</v>
      </c>
    </row>
    <row r="87" spans="1:10" x14ac:dyDescent="0.2">
      <c r="A87" s="7" t="s">
        <v>1147</v>
      </c>
      <c r="B87" s="7">
        <v>578808789</v>
      </c>
      <c r="C87" s="7" t="s">
        <v>1472</v>
      </c>
      <c r="D87" s="7">
        <v>81000139957</v>
      </c>
      <c r="E87" s="7" t="s">
        <v>1471</v>
      </c>
      <c r="F87" s="11">
        <f>VLOOKUP(E87,'M10B Order'!B:G,6,FALSE)</f>
        <v>0</v>
      </c>
    </row>
    <row r="88" spans="1:10" x14ac:dyDescent="0.2">
      <c r="A88" s="7" t="s">
        <v>1664</v>
      </c>
      <c r="B88" s="7">
        <v>578808735</v>
      </c>
      <c r="C88" s="7" t="s">
        <v>1666</v>
      </c>
      <c r="D88" s="7">
        <v>81000139860</v>
      </c>
      <c r="E88" s="7" t="s">
        <v>1665</v>
      </c>
      <c r="F88" s="11">
        <f>VLOOKUP(E88,'M10B Order'!B:G,6,FALSE)</f>
        <v>0</v>
      </c>
    </row>
    <row r="89" spans="1:10" x14ac:dyDescent="0.2">
      <c r="A89" s="7" t="s">
        <v>1664</v>
      </c>
      <c r="B89" s="7">
        <v>578808786</v>
      </c>
      <c r="C89" s="7" t="s">
        <v>1668</v>
      </c>
      <c r="D89" s="7">
        <v>81000139861</v>
      </c>
      <c r="E89" s="7" t="s">
        <v>1667</v>
      </c>
      <c r="F89" s="11">
        <f>VLOOKUP(E89,'M10B Order'!B:G,6,FALSE)</f>
        <v>0</v>
      </c>
    </row>
    <row r="90" spans="1:10" x14ac:dyDescent="0.2">
      <c r="A90" s="7" t="s">
        <v>1664</v>
      </c>
      <c r="B90" s="7">
        <v>578808788</v>
      </c>
      <c r="C90" s="7" t="s">
        <v>1670</v>
      </c>
      <c r="D90" s="7">
        <v>81000139859</v>
      </c>
      <c r="E90" s="7" t="s">
        <v>1669</v>
      </c>
      <c r="F90" s="11">
        <f>VLOOKUP(E90,'M10B Order'!B:G,6,FALSE)</f>
        <v>0</v>
      </c>
    </row>
    <row r="91" spans="1:10" x14ac:dyDescent="0.2">
      <c r="A91" s="7" t="s">
        <v>1664</v>
      </c>
      <c r="B91" s="7">
        <v>578808778</v>
      </c>
      <c r="C91" s="7" t="s">
        <v>1672</v>
      </c>
      <c r="D91" s="7">
        <v>81000139863</v>
      </c>
      <c r="E91" s="7" t="s">
        <v>1671</v>
      </c>
      <c r="F91" s="11">
        <f>VLOOKUP(E91,'M10B Order'!B:G,6,FALSE)</f>
        <v>0</v>
      </c>
    </row>
    <row r="92" spans="1:10" x14ac:dyDescent="0.2">
      <c r="A92" s="7" t="s">
        <v>1664</v>
      </c>
      <c r="B92" s="7">
        <v>578808787</v>
      </c>
      <c r="C92" s="7" t="s">
        <v>1674</v>
      </c>
      <c r="D92" s="7">
        <v>81000139864</v>
      </c>
      <c r="E92" s="7" t="s">
        <v>1673</v>
      </c>
      <c r="F92" s="11">
        <f>VLOOKUP(E92,'M10B Order'!B:G,6,FALSE)</f>
        <v>0</v>
      </c>
    </row>
    <row r="93" spans="1:10" x14ac:dyDescent="0.2">
      <c r="A93" s="7" t="s">
        <v>1664</v>
      </c>
      <c r="B93" s="7">
        <v>578808798</v>
      </c>
      <c r="C93" s="7" t="s">
        <v>1676</v>
      </c>
      <c r="D93" s="7">
        <v>81000139862</v>
      </c>
      <c r="E93" s="7" t="s">
        <v>1675</v>
      </c>
      <c r="F93" s="11">
        <f>VLOOKUP(E93,'M10B Order'!B:G,6,FALSE)</f>
        <v>0</v>
      </c>
    </row>
    <row r="94" spans="1:10" x14ac:dyDescent="0.2">
      <c r="A94" s="7" t="s">
        <v>370</v>
      </c>
      <c r="B94" s="7">
        <v>557968908</v>
      </c>
      <c r="C94" s="7" t="s">
        <v>1114</v>
      </c>
      <c r="D94" s="7">
        <v>74513891604</v>
      </c>
      <c r="E94" s="7" t="s">
        <v>1113</v>
      </c>
      <c r="F94" s="2">
        <f>VLOOKUP(E94,'M10B Order'!B:G,6,FALSE)</f>
        <v>0</v>
      </c>
      <c r="J94" s="7"/>
    </row>
    <row r="95" spans="1:10" x14ac:dyDescent="0.2">
      <c r="A95" s="7" t="s">
        <v>370</v>
      </c>
      <c r="B95" s="7">
        <v>557968939</v>
      </c>
      <c r="C95" s="7" t="s">
        <v>1064</v>
      </c>
      <c r="D95" s="7">
        <v>74513891617</v>
      </c>
      <c r="E95" s="7" t="s">
        <v>1063</v>
      </c>
      <c r="F95" s="2">
        <f>VLOOKUP(E95,'M10B Order'!B:G,6,FALSE)</f>
        <v>0</v>
      </c>
      <c r="J95" s="7"/>
    </row>
    <row r="96" spans="1:10" x14ac:dyDescent="0.2">
      <c r="A96" s="7" t="s">
        <v>370</v>
      </c>
      <c r="B96" s="7">
        <v>557968917</v>
      </c>
      <c r="C96" s="7" t="s">
        <v>1066</v>
      </c>
      <c r="D96" s="7">
        <v>74513891618</v>
      </c>
      <c r="E96" s="7" t="s">
        <v>1065</v>
      </c>
      <c r="F96" s="2">
        <f>VLOOKUP(E96,'M10B Order'!B:G,6,FALSE)</f>
        <v>0</v>
      </c>
      <c r="J96" s="7"/>
    </row>
    <row r="97" spans="1:10" x14ac:dyDescent="0.2">
      <c r="A97" s="7" t="s">
        <v>370</v>
      </c>
      <c r="B97" s="7">
        <v>557968912</v>
      </c>
      <c r="C97" s="7" t="s">
        <v>1072</v>
      </c>
      <c r="D97" s="7">
        <v>74513891623</v>
      </c>
      <c r="E97" s="7" t="s">
        <v>1071</v>
      </c>
      <c r="F97" s="2">
        <f>VLOOKUP(E97,'M10B Order'!B:G,6,FALSE)</f>
        <v>0</v>
      </c>
      <c r="J97" s="7"/>
    </row>
    <row r="98" spans="1:10" x14ac:dyDescent="0.2">
      <c r="A98" s="7" t="s">
        <v>370</v>
      </c>
      <c r="B98" s="7">
        <v>568940360</v>
      </c>
      <c r="C98" s="7" t="s">
        <v>1061</v>
      </c>
      <c r="D98" s="7">
        <v>74513891991</v>
      </c>
      <c r="E98" s="7" t="s">
        <v>1060</v>
      </c>
      <c r="F98" s="2">
        <f>VLOOKUP(E98,'M10B Order'!B:G,6,FALSE)</f>
        <v>0</v>
      </c>
      <c r="J98" s="7"/>
    </row>
    <row r="99" spans="1:10" x14ac:dyDescent="0.2">
      <c r="A99" s="7" t="s">
        <v>370</v>
      </c>
      <c r="B99" s="7">
        <v>568940362</v>
      </c>
      <c r="C99" s="7" t="s">
        <v>1059</v>
      </c>
      <c r="D99" s="7">
        <v>74513891992</v>
      </c>
      <c r="E99" s="7" t="s">
        <v>1058</v>
      </c>
      <c r="F99" s="2">
        <f>VLOOKUP(E99,'M10B Order'!B:G,6,FALSE)</f>
        <v>0</v>
      </c>
      <c r="J99" s="7"/>
    </row>
    <row r="100" spans="1:10" x14ac:dyDescent="0.2">
      <c r="A100" s="7" t="s">
        <v>370</v>
      </c>
      <c r="B100" s="7">
        <v>568940361</v>
      </c>
      <c r="C100" s="7" t="s">
        <v>1059</v>
      </c>
      <c r="D100" s="7">
        <v>74513891994</v>
      </c>
      <c r="E100" s="7" t="s">
        <v>1062</v>
      </c>
      <c r="F100" s="2">
        <f>VLOOKUP(E100,'M10B Order'!B:G,6,FALSE)</f>
        <v>0</v>
      </c>
      <c r="J100" s="7"/>
    </row>
    <row r="101" spans="1:10" x14ac:dyDescent="0.2">
      <c r="A101" s="7" t="s">
        <v>370</v>
      </c>
      <c r="B101" s="7">
        <v>553671137</v>
      </c>
      <c r="C101" s="7" t="s">
        <v>1110</v>
      </c>
      <c r="D101" s="7">
        <v>74513890103</v>
      </c>
      <c r="E101" s="7" t="s">
        <v>1109</v>
      </c>
      <c r="F101" s="2">
        <f>VLOOKUP(E101,'M10B Order'!B:G,6,FALSE)</f>
        <v>0</v>
      </c>
      <c r="J101" s="7"/>
    </row>
    <row r="102" spans="1:10" x14ac:dyDescent="0.2">
      <c r="A102" s="7" t="s">
        <v>370</v>
      </c>
      <c r="B102" s="7">
        <v>553667108</v>
      </c>
      <c r="C102" s="7" t="s">
        <v>1074</v>
      </c>
      <c r="D102" s="7">
        <v>74513890104</v>
      </c>
      <c r="E102" s="7" t="s">
        <v>1073</v>
      </c>
      <c r="F102" s="2">
        <f>VLOOKUP(E102,'M10B Order'!B:G,6,FALSE)</f>
        <v>0</v>
      </c>
      <c r="J102" s="7"/>
    </row>
    <row r="103" spans="1:10" x14ac:dyDescent="0.2">
      <c r="A103" s="7" t="s">
        <v>370</v>
      </c>
      <c r="B103" s="7">
        <v>553671138</v>
      </c>
      <c r="C103" s="7" t="s">
        <v>1112</v>
      </c>
      <c r="D103" s="7">
        <v>74513890105</v>
      </c>
      <c r="E103" s="7" t="s">
        <v>1111</v>
      </c>
      <c r="F103" s="2">
        <f>VLOOKUP(E103,'M10B Order'!B:G,6,FALSE)</f>
        <v>0</v>
      </c>
      <c r="J103" s="7"/>
    </row>
    <row r="104" spans="1:10" x14ac:dyDescent="0.2">
      <c r="A104" s="7" t="s">
        <v>370</v>
      </c>
      <c r="B104" s="7">
        <v>557968904</v>
      </c>
      <c r="C104" s="7" t="s">
        <v>1076</v>
      </c>
      <c r="D104" s="7">
        <v>74513891598</v>
      </c>
      <c r="E104" s="7" t="s">
        <v>1075</v>
      </c>
      <c r="F104" s="2">
        <f>VLOOKUP(E104,'M10B Order'!B:G,6,FALSE)</f>
        <v>0</v>
      </c>
      <c r="J104" s="7"/>
    </row>
    <row r="105" spans="1:10" x14ac:dyDescent="0.2">
      <c r="A105" s="7" t="s">
        <v>370</v>
      </c>
      <c r="B105" s="7">
        <v>557968909</v>
      </c>
      <c r="C105" s="7" t="s">
        <v>1070</v>
      </c>
      <c r="D105" s="7">
        <v>74513891600</v>
      </c>
      <c r="E105" s="7" t="s">
        <v>1069</v>
      </c>
      <c r="F105" s="2">
        <f>VLOOKUP(E105,'M10B Order'!B:G,6,FALSE)</f>
        <v>0</v>
      </c>
      <c r="J105" s="7"/>
    </row>
    <row r="106" spans="1:10" x14ac:dyDescent="0.2">
      <c r="A106" s="7" t="s">
        <v>370</v>
      </c>
      <c r="B106" s="7">
        <v>553671152</v>
      </c>
      <c r="C106" s="7" t="s">
        <v>1108</v>
      </c>
      <c r="D106" s="7">
        <v>74513890143</v>
      </c>
      <c r="E106" s="7" t="s">
        <v>1107</v>
      </c>
      <c r="F106" s="2">
        <f>VLOOKUP(E106,'M10B Order'!B:G,6,FALSE)</f>
        <v>0</v>
      </c>
      <c r="J106" s="7"/>
    </row>
    <row r="107" spans="1:10" x14ac:dyDescent="0.2">
      <c r="A107" s="7" t="s">
        <v>370</v>
      </c>
      <c r="B107" s="7">
        <v>553667109</v>
      </c>
      <c r="C107" s="7" t="s">
        <v>1078</v>
      </c>
      <c r="D107" s="7">
        <v>74513890106</v>
      </c>
      <c r="E107" s="7" t="s">
        <v>1077</v>
      </c>
      <c r="F107" s="2">
        <f>VLOOKUP(E107,'M10B Order'!B:G,6,FALSE)</f>
        <v>0</v>
      </c>
      <c r="J107" s="7"/>
    </row>
    <row r="108" spans="1:10" x14ac:dyDescent="0.2">
      <c r="A108" s="7" t="s">
        <v>370</v>
      </c>
      <c r="B108" s="7">
        <v>553671147</v>
      </c>
      <c r="C108" s="7" t="s">
        <v>1081</v>
      </c>
      <c r="D108" s="7">
        <v>74513890162</v>
      </c>
      <c r="E108" s="7" t="s">
        <v>1080</v>
      </c>
      <c r="F108" s="2">
        <f>VLOOKUP(E108,'M10B Order'!B:G,6,FALSE)</f>
        <v>0</v>
      </c>
      <c r="J108" s="7"/>
    </row>
    <row r="109" spans="1:10" x14ac:dyDescent="0.2">
      <c r="A109" s="7" t="s">
        <v>523</v>
      </c>
      <c r="B109" s="7">
        <v>568940357</v>
      </c>
      <c r="C109" s="7" t="s">
        <v>1086</v>
      </c>
      <c r="D109" s="7">
        <v>74513892885</v>
      </c>
      <c r="E109" s="7" t="s">
        <v>1085</v>
      </c>
      <c r="F109" s="2">
        <f>VLOOKUP(E109,'M10B Order'!B:G,6,FALSE)</f>
        <v>0</v>
      </c>
      <c r="J109" s="7"/>
    </row>
    <row r="110" spans="1:10" x14ac:dyDescent="0.2">
      <c r="A110" s="7" t="s">
        <v>523</v>
      </c>
      <c r="B110" s="7">
        <v>568940364</v>
      </c>
      <c r="C110" s="7" t="s">
        <v>1084</v>
      </c>
      <c r="D110" s="7">
        <v>74513892886</v>
      </c>
      <c r="E110" s="7" t="s">
        <v>1083</v>
      </c>
      <c r="F110" s="2">
        <f>VLOOKUP(E110,'M10B Order'!B:G,6,FALSE)</f>
        <v>0</v>
      </c>
      <c r="J110" s="7"/>
    </row>
    <row r="111" spans="1:10" x14ac:dyDescent="0.2">
      <c r="A111" s="7" t="s">
        <v>847</v>
      </c>
      <c r="B111" s="7">
        <v>573621624</v>
      </c>
      <c r="C111" s="7" t="s">
        <v>1051</v>
      </c>
      <c r="D111" s="7">
        <v>74513891944</v>
      </c>
      <c r="E111" s="7" t="s">
        <v>1050</v>
      </c>
      <c r="F111" s="2">
        <f>VLOOKUP(E111,'M10B Order'!B:G,6,FALSE)</f>
        <v>0</v>
      </c>
      <c r="J111" s="7"/>
    </row>
    <row r="112" spans="1:10" x14ac:dyDescent="0.2">
      <c r="A112" s="7" t="s">
        <v>847</v>
      </c>
      <c r="B112" s="7">
        <v>573608980</v>
      </c>
      <c r="C112" s="7" t="s">
        <v>1049</v>
      </c>
      <c r="D112" s="7">
        <v>74513893533</v>
      </c>
      <c r="E112" s="7" t="s">
        <v>1048</v>
      </c>
      <c r="F112" s="2">
        <f>VLOOKUP(E112,'M10B Order'!B:G,6,FALSE)</f>
        <v>0</v>
      </c>
      <c r="J112" s="7"/>
    </row>
    <row r="113" spans="1:10" x14ac:dyDescent="0.2">
      <c r="A113" s="7" t="s">
        <v>847</v>
      </c>
      <c r="B113" s="7">
        <v>573608976</v>
      </c>
      <c r="C113" s="7" t="s">
        <v>1055</v>
      </c>
      <c r="D113" s="7">
        <v>74513891939</v>
      </c>
      <c r="E113" s="7" t="s">
        <v>1054</v>
      </c>
      <c r="F113" s="2">
        <f>VLOOKUP(E113,'M10B Order'!B:G,6,FALSE)</f>
        <v>0</v>
      </c>
      <c r="J113" s="7"/>
    </row>
    <row r="114" spans="1:10" x14ac:dyDescent="0.2">
      <c r="A114" s="7" t="s">
        <v>847</v>
      </c>
      <c r="B114" s="7">
        <v>573608974</v>
      </c>
      <c r="C114" s="7" t="s">
        <v>1047</v>
      </c>
      <c r="D114" s="7">
        <v>74513891940</v>
      </c>
      <c r="E114" s="7" t="s">
        <v>1046</v>
      </c>
      <c r="F114" s="2">
        <f>VLOOKUP(E114,'M10B Order'!B:G,6,FALSE)</f>
        <v>0</v>
      </c>
      <c r="J114" s="7"/>
    </row>
    <row r="115" spans="1:10" x14ac:dyDescent="0.2">
      <c r="A115" s="7" t="s">
        <v>847</v>
      </c>
      <c r="B115" s="7">
        <v>573608977</v>
      </c>
      <c r="C115" s="7" t="s">
        <v>1043</v>
      </c>
      <c r="D115" s="7">
        <v>74513891957</v>
      </c>
      <c r="E115" s="7" t="s">
        <v>1042</v>
      </c>
      <c r="F115" s="2">
        <f>VLOOKUP(E115,'M10B Order'!B:G,6,FALSE)</f>
        <v>0</v>
      </c>
      <c r="J115" s="7"/>
    </row>
    <row r="116" spans="1:10" x14ac:dyDescent="0.2">
      <c r="A116" s="7" t="s">
        <v>847</v>
      </c>
      <c r="B116" s="7">
        <v>573608984</v>
      </c>
      <c r="C116" s="7" t="s">
        <v>1045</v>
      </c>
      <c r="D116" s="7">
        <v>74513891956</v>
      </c>
      <c r="E116" s="7" t="s">
        <v>1044</v>
      </c>
      <c r="F116" s="2">
        <f>VLOOKUP(E116,'M10B Order'!B:G,6,FALSE)</f>
        <v>0</v>
      </c>
      <c r="J116" s="7"/>
    </row>
    <row r="117" spans="1:10" x14ac:dyDescent="0.2">
      <c r="A117" s="7" t="s">
        <v>1687</v>
      </c>
      <c r="B117" s="7">
        <v>584323906</v>
      </c>
      <c r="C117" s="7" t="s">
        <v>1697</v>
      </c>
      <c r="D117" s="7">
        <v>81004033410</v>
      </c>
      <c r="E117" s="7" t="s">
        <v>1696</v>
      </c>
      <c r="F117" s="2">
        <f>VLOOKUP(E117,'M10B Order'!B:G,6,FALSE)</f>
        <v>0</v>
      </c>
    </row>
    <row r="118" spans="1:10" x14ac:dyDescent="0.2">
      <c r="A118" s="7" t="s">
        <v>1687</v>
      </c>
      <c r="B118" s="7">
        <v>584323908</v>
      </c>
      <c r="C118" s="7" t="s">
        <v>1699</v>
      </c>
      <c r="D118" s="7">
        <v>81004033414</v>
      </c>
      <c r="E118" s="7" t="s">
        <v>1698</v>
      </c>
      <c r="F118" s="2">
        <f>VLOOKUP(E118,'M10B Order'!B:G,6,FALSE)</f>
        <v>0</v>
      </c>
    </row>
    <row r="119" spans="1:10" x14ac:dyDescent="0.2">
      <c r="A119" s="7" t="s">
        <v>1687</v>
      </c>
      <c r="B119" s="7">
        <v>584323904</v>
      </c>
      <c r="C119" s="7" t="s">
        <v>1701</v>
      </c>
      <c r="D119" s="7">
        <v>81004033412</v>
      </c>
      <c r="E119" s="7" t="s">
        <v>1700</v>
      </c>
      <c r="F119" s="2">
        <f>VLOOKUP(E119,'M10B Order'!B:G,6,FALSE)</f>
        <v>0</v>
      </c>
    </row>
    <row r="120" spans="1:10" x14ac:dyDescent="0.2">
      <c r="A120" s="7" t="s">
        <v>1687</v>
      </c>
      <c r="B120" s="7">
        <v>584323915</v>
      </c>
      <c r="C120" s="7" t="s">
        <v>1707</v>
      </c>
      <c r="D120" s="7">
        <v>81004033413</v>
      </c>
      <c r="E120" s="7" t="s">
        <v>1706</v>
      </c>
      <c r="F120" s="2">
        <f>VLOOKUP(E120,'M10B Order'!B:G,6,FALSE)</f>
        <v>0</v>
      </c>
    </row>
    <row r="121" spans="1:10" x14ac:dyDescent="0.2">
      <c r="A121" s="7" t="s">
        <v>1687</v>
      </c>
      <c r="B121" s="7">
        <v>584323913</v>
      </c>
      <c r="C121" s="7" t="s">
        <v>1711</v>
      </c>
      <c r="D121" s="7">
        <v>81004033409</v>
      </c>
      <c r="E121" s="7" t="s">
        <v>1710</v>
      </c>
      <c r="F121" s="2">
        <f>VLOOKUP(E121,'M10B Order'!B:G,6,FALSE)</f>
        <v>0</v>
      </c>
    </row>
    <row r="122" spans="1:10" x14ac:dyDescent="0.2">
      <c r="A122" s="7" t="s">
        <v>1687</v>
      </c>
      <c r="B122" s="7">
        <v>584323903</v>
      </c>
      <c r="C122" s="7" t="s">
        <v>1715</v>
      </c>
      <c r="D122" s="7">
        <v>81004033411</v>
      </c>
      <c r="E122" s="7" t="s">
        <v>1714</v>
      </c>
      <c r="F122" s="2">
        <f>VLOOKUP(E122,'M10B Order'!B:G,6,FALSE)</f>
        <v>0</v>
      </c>
    </row>
    <row r="123" spans="1:10" x14ac:dyDescent="0.2">
      <c r="A123" s="7" t="s">
        <v>1830</v>
      </c>
      <c r="B123" s="7">
        <v>587575530</v>
      </c>
      <c r="C123" s="7" t="s">
        <v>1932</v>
      </c>
      <c r="D123" s="7">
        <v>81004033267</v>
      </c>
      <c r="E123" s="7" t="s">
        <v>1931</v>
      </c>
      <c r="F123" s="2">
        <f>VLOOKUP(E123,'M10B Order'!B:G,6,FALSE)</f>
        <v>0</v>
      </c>
    </row>
    <row r="124" spans="1:10" x14ac:dyDescent="0.2">
      <c r="A124" s="7" t="s">
        <v>1830</v>
      </c>
      <c r="B124" s="7">
        <v>587575885</v>
      </c>
      <c r="C124" s="7" t="s">
        <v>1930</v>
      </c>
      <c r="D124" s="7">
        <v>81004033275</v>
      </c>
      <c r="E124" s="7" t="s">
        <v>1929</v>
      </c>
      <c r="F124" s="2">
        <f>VLOOKUP(E124,'M10B Order'!B:G,6,FALSE)</f>
        <v>0</v>
      </c>
    </row>
    <row r="125" spans="1:10" x14ac:dyDescent="0.2">
      <c r="A125" s="7" t="s">
        <v>1830</v>
      </c>
      <c r="B125" s="7">
        <v>587575338</v>
      </c>
      <c r="C125" s="7" t="s">
        <v>1928</v>
      </c>
      <c r="D125" s="7">
        <v>81004033269</v>
      </c>
      <c r="E125" s="7" t="s">
        <v>1927</v>
      </c>
      <c r="F125" s="2">
        <f>VLOOKUP(E125,'M10B Order'!B:G,6,FALSE)</f>
        <v>0</v>
      </c>
    </row>
  </sheetData>
  <mergeCells count="2">
    <mergeCell ref="A1:C1"/>
    <mergeCell ref="D1:F1"/>
  </mergeCells>
  <pageMargins left="0.7" right="0.7" top="0.75" bottom="0.75" header="0.3" footer="0.3"/>
  <pageSetup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G8"/>
  <sheetViews>
    <sheetView workbookViewId="0">
      <selection activeCell="E24" sqref="E24"/>
    </sheetView>
  </sheetViews>
  <sheetFormatPr baseColWidth="10" defaultColWidth="9.1640625" defaultRowHeight="15" x14ac:dyDescent="0.2"/>
  <cols>
    <col min="1" max="1" width="17.6640625" style="5" bestFit="1" customWidth="1"/>
    <col min="2" max="2" width="10" style="5" bestFit="1" customWidth="1"/>
    <col min="3" max="3" width="22" style="5" bestFit="1" customWidth="1"/>
    <col min="4" max="4" width="12" style="5" bestFit="1" customWidth="1"/>
    <col min="5" max="5" width="14" style="5" bestFit="1" customWidth="1"/>
    <col min="6" max="6" width="10" style="5" bestFit="1" customWidth="1"/>
    <col min="7" max="16384" width="9.1640625" style="5"/>
  </cols>
  <sheetData>
    <row r="1" spans="1:7" x14ac:dyDescent="0.2">
      <c r="A1" s="38" t="s">
        <v>1942</v>
      </c>
      <c r="B1" s="38"/>
      <c r="C1" s="38"/>
      <c r="D1" s="39" t="s">
        <v>1943</v>
      </c>
      <c r="E1" s="39"/>
      <c r="F1" s="39"/>
      <c r="G1" s="1"/>
    </row>
    <row r="2" spans="1:7" x14ac:dyDescent="0.2">
      <c r="A2" s="4" t="s">
        <v>360</v>
      </c>
      <c r="B2" s="4" t="s">
        <v>0</v>
      </c>
      <c r="C2" s="4" t="s">
        <v>1</v>
      </c>
      <c r="D2" s="4" t="s">
        <v>2</v>
      </c>
      <c r="E2" s="4" t="s">
        <v>3</v>
      </c>
      <c r="F2" s="4" t="s">
        <v>366</v>
      </c>
      <c r="G2" s="1"/>
    </row>
    <row r="3" spans="1:7" x14ac:dyDescent="0.2">
      <c r="A3" s="5" t="s">
        <v>1719</v>
      </c>
      <c r="B3" s="5">
        <v>581933052</v>
      </c>
      <c r="C3" s="5" t="s">
        <v>1720</v>
      </c>
      <c r="D3" s="5">
        <v>81004033142</v>
      </c>
      <c r="E3" s="5" t="s">
        <v>644</v>
      </c>
      <c r="F3" s="5">
        <f>VLOOKUP(E3,'M10B Order'!B:G,6,FALSE)</f>
        <v>0</v>
      </c>
    </row>
    <row r="4" spans="1:7" x14ac:dyDescent="0.2">
      <c r="A4" s="5" t="s">
        <v>1719</v>
      </c>
      <c r="B4" s="5">
        <v>581933040</v>
      </c>
      <c r="C4" s="5" t="s">
        <v>1722</v>
      </c>
      <c r="D4" s="5">
        <v>81004033141</v>
      </c>
      <c r="E4" s="5" t="s">
        <v>642</v>
      </c>
      <c r="F4" s="5">
        <f>VLOOKUP(E4,'M10B Order'!B:G,6,FALSE)</f>
        <v>0</v>
      </c>
    </row>
    <row r="5" spans="1:7" x14ac:dyDescent="0.2">
      <c r="A5" s="5" t="s">
        <v>1719</v>
      </c>
      <c r="B5" s="5">
        <v>581933049</v>
      </c>
      <c r="C5" s="5" t="s">
        <v>1724</v>
      </c>
      <c r="D5" s="5">
        <v>81004033143</v>
      </c>
      <c r="E5" s="5" t="s">
        <v>643</v>
      </c>
      <c r="F5" s="5">
        <f>VLOOKUP(E5,'M10B Order'!B:G,6,FALSE)</f>
        <v>0</v>
      </c>
    </row>
    <row r="6" spans="1:7" x14ac:dyDescent="0.2">
      <c r="A6" s="5" t="s">
        <v>1742</v>
      </c>
      <c r="B6" s="5">
        <v>582083552</v>
      </c>
      <c r="C6" s="5" t="s">
        <v>1743</v>
      </c>
      <c r="D6" s="5">
        <v>81004033123</v>
      </c>
      <c r="E6" s="5" t="s">
        <v>1721</v>
      </c>
      <c r="F6" s="5">
        <f>VLOOKUP(E6,'M10B Order'!B:G,6,FALSE)</f>
        <v>0</v>
      </c>
    </row>
    <row r="7" spans="1:7" x14ac:dyDescent="0.2">
      <c r="A7" s="5" t="s">
        <v>1742</v>
      </c>
      <c r="B7" s="5">
        <v>582083551</v>
      </c>
      <c r="C7" s="5" t="s">
        <v>1744</v>
      </c>
      <c r="D7" s="5">
        <v>81004033124</v>
      </c>
      <c r="E7" s="5" t="s">
        <v>1723</v>
      </c>
      <c r="F7" s="5">
        <f>VLOOKUP(E7,'M10B Order'!B:G,6,FALSE)</f>
        <v>0</v>
      </c>
    </row>
    <row r="8" spans="1:7" x14ac:dyDescent="0.2">
      <c r="A8" s="5" t="s">
        <v>1742</v>
      </c>
      <c r="B8" s="5">
        <v>582083553</v>
      </c>
      <c r="C8" s="5" t="s">
        <v>1745</v>
      </c>
      <c r="D8" s="5">
        <v>81004033125</v>
      </c>
      <c r="E8" s="5" t="s">
        <v>1725</v>
      </c>
      <c r="F8" s="5">
        <f>VLOOKUP(E8,'M10B Order'!B:G,6,FALSE)</f>
        <v>0</v>
      </c>
    </row>
  </sheetData>
  <mergeCells count="2">
    <mergeCell ref="A1:C1"/>
    <mergeCell ref="D1:F1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A1:L5"/>
  <sheetViews>
    <sheetView workbookViewId="0">
      <selection activeCell="E24" sqref="E24"/>
    </sheetView>
  </sheetViews>
  <sheetFormatPr baseColWidth="10" defaultColWidth="9.1640625" defaultRowHeight="15" x14ac:dyDescent="0.2"/>
  <cols>
    <col min="1" max="1" width="17.6640625" style="5" bestFit="1" customWidth="1"/>
    <col min="2" max="2" width="10" style="5" bestFit="1" customWidth="1"/>
    <col min="3" max="3" width="22" style="5" bestFit="1" customWidth="1"/>
    <col min="4" max="4" width="12" style="5" bestFit="1" customWidth="1"/>
    <col min="5" max="5" width="14" style="5" bestFit="1" customWidth="1"/>
    <col min="6" max="6" width="10" style="5" bestFit="1" customWidth="1"/>
    <col min="7" max="16384" width="9.1640625" style="5"/>
  </cols>
  <sheetData>
    <row r="1" spans="1:12" x14ac:dyDescent="0.2">
      <c r="A1" s="38" t="s">
        <v>1942</v>
      </c>
      <c r="B1" s="38"/>
      <c r="C1" s="38"/>
      <c r="D1" s="39" t="s">
        <v>1943</v>
      </c>
      <c r="E1" s="39"/>
      <c r="F1" s="39"/>
      <c r="L1" s="1"/>
    </row>
    <row r="2" spans="1:12" x14ac:dyDescent="0.2">
      <c r="A2" s="4" t="s">
        <v>360</v>
      </c>
      <c r="B2" s="4" t="s">
        <v>0</v>
      </c>
      <c r="C2" s="4" t="s">
        <v>1</v>
      </c>
      <c r="D2" s="4" t="s">
        <v>2</v>
      </c>
      <c r="E2" s="4" t="s">
        <v>3</v>
      </c>
      <c r="F2" s="4" t="s">
        <v>366</v>
      </c>
      <c r="L2" s="1"/>
    </row>
    <row r="3" spans="1:12" x14ac:dyDescent="0.2">
      <c r="A3" s="5" t="s">
        <v>605</v>
      </c>
      <c r="B3" s="5">
        <v>569042258</v>
      </c>
      <c r="C3" s="5" t="s">
        <v>641</v>
      </c>
      <c r="D3" s="5">
        <v>81005603663</v>
      </c>
      <c r="E3" s="5" t="s">
        <v>640</v>
      </c>
      <c r="F3" s="5">
        <f>VLOOKUP(E3,'M10B Order'!B:G,6,FALSE)</f>
        <v>2880</v>
      </c>
    </row>
    <row r="4" spans="1:12" x14ac:dyDescent="0.2">
      <c r="A4" s="5" t="s">
        <v>1015</v>
      </c>
      <c r="B4" s="5">
        <v>574155416</v>
      </c>
      <c r="C4" s="5" t="s">
        <v>1017</v>
      </c>
      <c r="D4" s="5">
        <v>81000139015</v>
      </c>
      <c r="E4" s="5" t="s">
        <v>1016</v>
      </c>
      <c r="F4" s="5">
        <f>VLOOKUP(E4,'M10B Order'!B:G,6,FALSE)</f>
        <v>2898</v>
      </c>
    </row>
    <row r="5" spans="1:12" x14ac:dyDescent="0.2">
      <c r="A5" s="5" t="s">
        <v>1679</v>
      </c>
      <c r="B5" s="5">
        <v>580594310</v>
      </c>
      <c r="C5" s="5" t="s">
        <v>1681</v>
      </c>
      <c r="D5" s="5">
        <v>81000139389</v>
      </c>
      <c r="E5" s="5" t="s">
        <v>1680</v>
      </c>
      <c r="F5" s="5">
        <f>VLOOKUP(E5,'M10B Order'!B:G,6,FALSE)</f>
        <v>3200</v>
      </c>
    </row>
  </sheetData>
  <mergeCells count="2">
    <mergeCell ref="A1:C1"/>
    <mergeCell ref="D1:F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:F254"/>
  <sheetViews>
    <sheetView workbookViewId="0">
      <selection activeCell="E2" sqref="E1:E1048576"/>
    </sheetView>
  </sheetViews>
  <sheetFormatPr baseColWidth="10" defaultColWidth="9.1640625" defaultRowHeight="15" x14ac:dyDescent="0.2"/>
  <cols>
    <col min="1" max="1" width="17.33203125" style="7" bestFit="1" customWidth="1"/>
    <col min="2" max="2" width="10" style="7" bestFit="1" customWidth="1"/>
    <col min="3" max="3" width="23.1640625" style="7" bestFit="1" customWidth="1"/>
    <col min="4" max="4" width="12" style="7" bestFit="1" customWidth="1"/>
    <col min="5" max="5" width="14.5" style="7" bestFit="1" customWidth="1"/>
    <col min="6" max="6" width="14.33203125" style="7" bestFit="1" customWidth="1"/>
    <col min="7" max="16384" width="9.1640625" style="7"/>
  </cols>
  <sheetData>
    <row r="1" spans="1:6" x14ac:dyDescent="0.2">
      <c r="A1" s="36" t="s">
        <v>1942</v>
      </c>
      <c r="B1" s="36"/>
      <c r="C1" s="36"/>
      <c r="D1" s="37" t="s">
        <v>1943</v>
      </c>
      <c r="E1" s="37"/>
      <c r="F1" s="37"/>
    </row>
    <row r="2" spans="1:6" x14ac:dyDescent="0.2">
      <c r="A2" s="6" t="s">
        <v>360</v>
      </c>
      <c r="B2" s="6" t="s">
        <v>0</v>
      </c>
      <c r="C2" s="6" t="s">
        <v>1</v>
      </c>
      <c r="D2" s="6" t="s">
        <v>2</v>
      </c>
      <c r="E2" s="6" t="s">
        <v>3</v>
      </c>
      <c r="F2" s="6" t="s">
        <v>366</v>
      </c>
    </row>
    <row r="3" spans="1:6" x14ac:dyDescent="0.2">
      <c r="A3" s="7" t="s">
        <v>423</v>
      </c>
      <c r="B3" s="7">
        <v>555086367</v>
      </c>
      <c r="C3" s="7" t="s">
        <v>425</v>
      </c>
      <c r="D3" s="7">
        <v>81446902359</v>
      </c>
      <c r="E3" s="7" t="s">
        <v>424</v>
      </c>
      <c r="F3" s="11">
        <f>VLOOKUP(E3,'M10B Order'!B:G,6,FALSE)</f>
        <v>4464</v>
      </c>
    </row>
    <row r="4" spans="1:6" x14ac:dyDescent="0.2">
      <c r="A4" s="7" t="s">
        <v>423</v>
      </c>
      <c r="B4" s="7">
        <v>555086364</v>
      </c>
      <c r="C4" s="7" t="s">
        <v>427</v>
      </c>
      <c r="D4" s="7">
        <v>81446902360</v>
      </c>
      <c r="E4" s="7" t="s">
        <v>426</v>
      </c>
      <c r="F4" s="11">
        <f>VLOOKUP(E4,'M10B Order'!B:G,6,FALSE)</f>
        <v>4368</v>
      </c>
    </row>
    <row r="5" spans="1:6" x14ac:dyDescent="0.2">
      <c r="A5" s="7" t="s">
        <v>423</v>
      </c>
      <c r="B5" s="7">
        <v>555086362</v>
      </c>
      <c r="C5" s="7" t="s">
        <v>429</v>
      </c>
      <c r="D5" s="7">
        <v>81446902361</v>
      </c>
      <c r="E5" s="7" t="s">
        <v>428</v>
      </c>
      <c r="F5" s="11">
        <f>VLOOKUP(E5,'M10B Order'!B:G,6,FALSE)</f>
        <v>10944</v>
      </c>
    </row>
    <row r="6" spans="1:6" x14ac:dyDescent="0.2">
      <c r="A6" s="7" t="s">
        <v>605</v>
      </c>
      <c r="B6" s="7">
        <v>569023425</v>
      </c>
      <c r="C6" s="7" t="s">
        <v>635</v>
      </c>
      <c r="D6" s="7">
        <v>81005603706</v>
      </c>
      <c r="E6" s="7" t="s">
        <v>634</v>
      </c>
      <c r="F6" s="11">
        <f>VLOOKUP(E6,'M10B Order'!B:G,6,FALSE)</f>
        <v>16740</v>
      </c>
    </row>
    <row r="7" spans="1:6" x14ac:dyDescent="0.2">
      <c r="A7" s="7" t="s">
        <v>605</v>
      </c>
      <c r="B7" s="7">
        <v>569033453</v>
      </c>
      <c r="C7" s="7" t="s">
        <v>637</v>
      </c>
      <c r="D7" s="7">
        <v>81005603702</v>
      </c>
      <c r="E7" s="7" t="s">
        <v>636</v>
      </c>
      <c r="F7" s="11">
        <f>VLOOKUP(E7,'M10B Order'!B:G,6,FALSE)</f>
        <v>19152</v>
      </c>
    </row>
    <row r="8" spans="1:6" x14ac:dyDescent="0.2">
      <c r="A8" s="7" t="s">
        <v>605</v>
      </c>
      <c r="B8" s="7">
        <v>569042286</v>
      </c>
      <c r="C8" s="7" t="s">
        <v>639</v>
      </c>
      <c r="D8" s="7">
        <v>81005603709</v>
      </c>
      <c r="E8" s="7" t="s">
        <v>638</v>
      </c>
      <c r="F8" s="11">
        <f>VLOOKUP(E8,'M10B Order'!B:G,6,FALSE)</f>
        <v>6840</v>
      </c>
    </row>
    <row r="9" spans="1:6" x14ac:dyDescent="0.2">
      <c r="A9" s="7" t="s">
        <v>1687</v>
      </c>
      <c r="B9" s="7">
        <v>584323911</v>
      </c>
      <c r="C9" s="7" t="s">
        <v>1705</v>
      </c>
      <c r="D9" s="7">
        <v>81004033416</v>
      </c>
      <c r="E9" s="7" t="s">
        <v>1704</v>
      </c>
      <c r="F9" s="11">
        <f>VLOOKUP(E9,'M10B Order'!B:G,6,FALSE)</f>
        <v>0</v>
      </c>
    </row>
    <row r="10" spans="1:6" x14ac:dyDescent="0.2">
      <c r="A10" s="7" t="s">
        <v>1682</v>
      </c>
      <c r="B10" s="7">
        <v>580594313</v>
      </c>
      <c r="C10" s="7" t="s">
        <v>1684</v>
      </c>
      <c r="D10" s="7">
        <v>81000139379</v>
      </c>
      <c r="E10" s="7" t="s">
        <v>1683</v>
      </c>
      <c r="F10" s="11">
        <f>VLOOKUP(E10,'M10B Order'!B:G,6,FALSE)</f>
        <v>4432</v>
      </c>
    </row>
    <row r="11" spans="1:6" x14ac:dyDescent="0.2">
      <c r="A11" s="7" t="s">
        <v>1682</v>
      </c>
      <c r="B11" s="7">
        <v>580594311</v>
      </c>
      <c r="C11" s="7" t="s">
        <v>1686</v>
      </c>
      <c r="D11" s="7">
        <v>81000139382</v>
      </c>
      <c r="E11" s="7" t="s">
        <v>1685</v>
      </c>
      <c r="F11" s="11">
        <f>VLOOKUP(E11,'M10B Order'!B:G,6,FALSE)</f>
        <v>3000</v>
      </c>
    </row>
    <row r="12" spans="1:6" x14ac:dyDescent="0.2">
      <c r="F12" s="11"/>
    </row>
    <row r="13" spans="1:6" x14ac:dyDescent="0.2">
      <c r="F13" s="11"/>
    </row>
    <row r="14" spans="1:6" x14ac:dyDescent="0.2">
      <c r="F14" s="11"/>
    </row>
    <row r="15" spans="1:6" x14ac:dyDescent="0.2">
      <c r="F15" s="11"/>
    </row>
    <row r="16" spans="1:6" x14ac:dyDescent="0.2">
      <c r="F16" s="11"/>
    </row>
    <row r="17" spans="6:6" x14ac:dyDescent="0.2">
      <c r="F17" s="11"/>
    </row>
    <row r="18" spans="6:6" x14ac:dyDescent="0.2">
      <c r="F18" s="11"/>
    </row>
    <row r="19" spans="6:6" x14ac:dyDescent="0.2">
      <c r="F19" s="11"/>
    </row>
    <row r="20" spans="6:6" x14ac:dyDescent="0.2">
      <c r="F20" s="11"/>
    </row>
    <row r="21" spans="6:6" x14ac:dyDescent="0.2">
      <c r="F21" s="11"/>
    </row>
    <row r="22" spans="6:6" x14ac:dyDescent="0.2">
      <c r="F22" s="11"/>
    </row>
    <row r="23" spans="6:6" x14ac:dyDescent="0.2">
      <c r="F23" s="11"/>
    </row>
    <row r="24" spans="6:6" x14ac:dyDescent="0.2">
      <c r="F24" s="11"/>
    </row>
    <row r="25" spans="6:6" x14ac:dyDescent="0.2">
      <c r="F25" s="11"/>
    </row>
    <row r="26" spans="6:6" x14ac:dyDescent="0.2">
      <c r="F26" s="11"/>
    </row>
    <row r="27" spans="6:6" x14ac:dyDescent="0.2">
      <c r="F27" s="11"/>
    </row>
    <row r="28" spans="6:6" x14ac:dyDescent="0.2">
      <c r="F28" s="11"/>
    </row>
    <row r="29" spans="6:6" x14ac:dyDescent="0.2">
      <c r="F29" s="11"/>
    </row>
    <row r="30" spans="6:6" x14ac:dyDescent="0.2">
      <c r="F30" s="11"/>
    </row>
    <row r="31" spans="6:6" x14ac:dyDescent="0.2">
      <c r="F31" s="11"/>
    </row>
    <row r="32" spans="6:6" x14ac:dyDescent="0.2">
      <c r="F32" s="11"/>
    </row>
    <row r="33" spans="6:6" x14ac:dyDescent="0.2">
      <c r="F33" s="11"/>
    </row>
    <row r="34" spans="6:6" x14ac:dyDescent="0.2">
      <c r="F34" s="11"/>
    </row>
    <row r="35" spans="6:6" x14ac:dyDescent="0.2">
      <c r="F35" s="11"/>
    </row>
    <row r="36" spans="6:6" x14ac:dyDescent="0.2">
      <c r="F36" s="11"/>
    </row>
    <row r="37" spans="6:6" x14ac:dyDescent="0.2">
      <c r="F37" s="11"/>
    </row>
    <row r="38" spans="6:6" x14ac:dyDescent="0.2">
      <c r="F38" s="11"/>
    </row>
    <row r="39" spans="6:6" x14ac:dyDescent="0.2">
      <c r="F39" s="11"/>
    </row>
    <row r="40" spans="6:6" x14ac:dyDescent="0.2">
      <c r="F40" s="11"/>
    </row>
    <row r="41" spans="6:6" x14ac:dyDescent="0.2">
      <c r="F41" s="11"/>
    </row>
    <row r="42" spans="6:6" x14ac:dyDescent="0.2">
      <c r="F42" s="11"/>
    </row>
    <row r="43" spans="6:6" x14ac:dyDescent="0.2">
      <c r="F43" s="11"/>
    </row>
    <row r="44" spans="6:6" x14ac:dyDescent="0.2">
      <c r="F44" s="11"/>
    </row>
    <row r="45" spans="6:6" x14ac:dyDescent="0.2">
      <c r="F45" s="11"/>
    </row>
    <row r="46" spans="6:6" x14ac:dyDescent="0.2">
      <c r="F46" s="11"/>
    </row>
    <row r="47" spans="6:6" x14ac:dyDescent="0.2">
      <c r="F47" s="11"/>
    </row>
    <row r="48" spans="6:6" x14ac:dyDescent="0.2">
      <c r="F48" s="11"/>
    </row>
    <row r="49" spans="6:6" x14ac:dyDescent="0.2">
      <c r="F49" s="11"/>
    </row>
    <row r="50" spans="6:6" x14ac:dyDescent="0.2">
      <c r="F50" s="11"/>
    </row>
    <row r="51" spans="6:6" x14ac:dyDescent="0.2">
      <c r="F51" s="11"/>
    </row>
    <row r="52" spans="6:6" x14ac:dyDescent="0.2">
      <c r="F52" s="11"/>
    </row>
    <row r="53" spans="6:6" x14ac:dyDescent="0.2">
      <c r="F53" s="11"/>
    </row>
    <row r="54" spans="6:6" x14ac:dyDescent="0.2">
      <c r="F54" s="11"/>
    </row>
    <row r="55" spans="6:6" x14ac:dyDescent="0.2">
      <c r="F55" s="11"/>
    </row>
    <row r="56" spans="6:6" x14ac:dyDescent="0.2">
      <c r="F56" s="11"/>
    </row>
    <row r="57" spans="6:6" x14ac:dyDescent="0.2">
      <c r="F57" s="11"/>
    </row>
    <row r="58" spans="6:6" x14ac:dyDescent="0.2">
      <c r="F58" s="11"/>
    </row>
    <row r="59" spans="6:6" x14ac:dyDescent="0.2">
      <c r="F59" s="11"/>
    </row>
    <row r="60" spans="6:6" x14ac:dyDescent="0.2">
      <c r="F60" s="11"/>
    </row>
    <row r="61" spans="6:6" x14ac:dyDescent="0.2">
      <c r="F61" s="11"/>
    </row>
    <row r="62" spans="6:6" x14ac:dyDescent="0.2">
      <c r="F62" s="11"/>
    </row>
    <row r="63" spans="6:6" x14ac:dyDescent="0.2">
      <c r="F63" s="11"/>
    </row>
    <row r="64" spans="6:6" x14ac:dyDescent="0.2">
      <c r="F64" s="11"/>
    </row>
    <row r="65" spans="6:6" x14ac:dyDescent="0.2">
      <c r="F65" s="11"/>
    </row>
    <row r="66" spans="6:6" x14ac:dyDescent="0.2">
      <c r="F66" s="11"/>
    </row>
    <row r="67" spans="6:6" x14ac:dyDescent="0.2">
      <c r="F67" s="11"/>
    </row>
    <row r="68" spans="6:6" x14ac:dyDescent="0.2">
      <c r="F68" s="11"/>
    </row>
    <row r="69" spans="6:6" x14ac:dyDescent="0.2">
      <c r="F69" s="11"/>
    </row>
    <row r="70" spans="6:6" x14ac:dyDescent="0.2">
      <c r="F70" s="11"/>
    </row>
    <row r="71" spans="6:6" x14ac:dyDescent="0.2">
      <c r="F71" s="11"/>
    </row>
    <row r="72" spans="6:6" x14ac:dyDescent="0.2">
      <c r="F72" s="11"/>
    </row>
    <row r="73" spans="6:6" x14ac:dyDescent="0.2">
      <c r="F73" s="11"/>
    </row>
    <row r="74" spans="6:6" x14ac:dyDescent="0.2">
      <c r="F74" s="11"/>
    </row>
    <row r="75" spans="6:6" x14ac:dyDescent="0.2">
      <c r="F75" s="11"/>
    </row>
    <row r="76" spans="6:6" x14ac:dyDescent="0.2">
      <c r="F76" s="11"/>
    </row>
    <row r="77" spans="6:6" x14ac:dyDescent="0.2">
      <c r="F77" s="11"/>
    </row>
    <row r="78" spans="6:6" x14ac:dyDescent="0.2">
      <c r="F78" s="11"/>
    </row>
    <row r="79" spans="6:6" x14ac:dyDescent="0.2">
      <c r="F79" s="11"/>
    </row>
    <row r="80" spans="6:6" x14ac:dyDescent="0.2">
      <c r="F80" s="11"/>
    </row>
    <row r="81" spans="6:6" x14ac:dyDescent="0.2">
      <c r="F81" s="11"/>
    </row>
    <row r="82" spans="6:6" x14ac:dyDescent="0.2">
      <c r="F82" s="11"/>
    </row>
    <row r="83" spans="6:6" x14ac:dyDescent="0.2">
      <c r="F83" s="11"/>
    </row>
    <row r="84" spans="6:6" x14ac:dyDescent="0.2">
      <c r="F84" s="11"/>
    </row>
    <row r="85" spans="6:6" x14ac:dyDescent="0.2">
      <c r="F85" s="11"/>
    </row>
    <row r="86" spans="6:6" x14ac:dyDescent="0.2">
      <c r="F86" s="11"/>
    </row>
    <row r="87" spans="6:6" x14ac:dyDescent="0.2">
      <c r="F87" s="11"/>
    </row>
    <row r="88" spans="6:6" x14ac:dyDescent="0.2">
      <c r="F88" s="11"/>
    </row>
    <row r="89" spans="6:6" x14ac:dyDescent="0.2">
      <c r="F89" s="11"/>
    </row>
    <row r="90" spans="6:6" x14ac:dyDescent="0.2">
      <c r="F90" s="11"/>
    </row>
    <row r="91" spans="6:6" x14ac:dyDescent="0.2">
      <c r="F91" s="11"/>
    </row>
    <row r="92" spans="6:6" x14ac:dyDescent="0.2">
      <c r="F92" s="11"/>
    </row>
    <row r="93" spans="6:6" x14ac:dyDescent="0.2">
      <c r="F93" s="11"/>
    </row>
    <row r="94" spans="6:6" x14ac:dyDescent="0.2">
      <c r="F94" s="11"/>
    </row>
    <row r="95" spans="6:6" x14ac:dyDescent="0.2">
      <c r="F95" s="11"/>
    </row>
    <row r="96" spans="6:6" x14ac:dyDescent="0.2">
      <c r="F96" s="11"/>
    </row>
    <row r="97" spans="6:6" x14ac:dyDescent="0.2">
      <c r="F97" s="11"/>
    </row>
    <row r="98" spans="6:6" x14ac:dyDescent="0.2">
      <c r="F98" s="11"/>
    </row>
    <row r="99" spans="6:6" x14ac:dyDescent="0.2">
      <c r="F99" s="11"/>
    </row>
    <row r="100" spans="6:6" x14ac:dyDescent="0.2">
      <c r="F100" s="11"/>
    </row>
    <row r="101" spans="6:6" x14ac:dyDescent="0.2">
      <c r="F101" s="11"/>
    </row>
    <row r="102" spans="6:6" x14ac:dyDescent="0.2">
      <c r="F102" s="11"/>
    </row>
    <row r="103" spans="6:6" x14ac:dyDescent="0.2">
      <c r="F103" s="11"/>
    </row>
    <row r="104" spans="6:6" x14ac:dyDescent="0.2">
      <c r="F104" s="11"/>
    </row>
    <row r="105" spans="6:6" x14ac:dyDescent="0.2">
      <c r="F105" s="11"/>
    </row>
    <row r="106" spans="6:6" x14ac:dyDescent="0.2">
      <c r="F106" s="11"/>
    </row>
    <row r="107" spans="6:6" x14ac:dyDescent="0.2">
      <c r="F107" s="11"/>
    </row>
    <row r="108" spans="6:6" x14ac:dyDescent="0.2">
      <c r="F108" s="11"/>
    </row>
    <row r="109" spans="6:6" x14ac:dyDescent="0.2">
      <c r="F109" s="11"/>
    </row>
    <row r="110" spans="6:6" x14ac:dyDescent="0.2">
      <c r="F110" s="11"/>
    </row>
    <row r="111" spans="6:6" x14ac:dyDescent="0.2">
      <c r="F111" s="11"/>
    </row>
    <row r="112" spans="6:6" x14ac:dyDescent="0.2">
      <c r="F112" s="11"/>
    </row>
    <row r="113" spans="6:6" x14ac:dyDescent="0.2">
      <c r="F113" s="11"/>
    </row>
    <row r="114" spans="6:6" x14ac:dyDescent="0.2">
      <c r="F114" s="11"/>
    </row>
    <row r="115" spans="6:6" x14ac:dyDescent="0.2">
      <c r="F115" s="11"/>
    </row>
    <row r="116" spans="6:6" x14ac:dyDescent="0.2">
      <c r="F116" s="11"/>
    </row>
    <row r="117" spans="6:6" x14ac:dyDescent="0.2">
      <c r="F117" s="11"/>
    </row>
    <row r="118" spans="6:6" x14ac:dyDescent="0.2">
      <c r="F118" s="11"/>
    </row>
    <row r="119" spans="6:6" x14ac:dyDescent="0.2">
      <c r="F119" s="11"/>
    </row>
    <row r="120" spans="6:6" x14ac:dyDescent="0.2">
      <c r="F120" s="11"/>
    </row>
    <row r="121" spans="6:6" x14ac:dyDescent="0.2">
      <c r="F121" s="11"/>
    </row>
    <row r="122" spans="6:6" x14ac:dyDescent="0.2">
      <c r="F122" s="11"/>
    </row>
    <row r="123" spans="6:6" x14ac:dyDescent="0.2">
      <c r="F123" s="11"/>
    </row>
    <row r="124" spans="6:6" x14ac:dyDescent="0.2">
      <c r="F124" s="11"/>
    </row>
    <row r="125" spans="6:6" x14ac:dyDescent="0.2">
      <c r="F125" s="11"/>
    </row>
    <row r="126" spans="6:6" x14ac:dyDescent="0.2">
      <c r="F126" s="11"/>
    </row>
    <row r="127" spans="6:6" x14ac:dyDescent="0.2">
      <c r="F127" s="11"/>
    </row>
    <row r="128" spans="6:6" x14ac:dyDescent="0.2">
      <c r="F128" s="11"/>
    </row>
    <row r="129" spans="6:6" x14ac:dyDescent="0.2">
      <c r="F129" s="11"/>
    </row>
    <row r="130" spans="6:6" x14ac:dyDescent="0.2">
      <c r="F130" s="11"/>
    </row>
    <row r="131" spans="6:6" x14ac:dyDescent="0.2">
      <c r="F131" s="11"/>
    </row>
    <row r="132" spans="6:6" x14ac:dyDescent="0.2">
      <c r="F132" s="11"/>
    </row>
    <row r="133" spans="6:6" x14ac:dyDescent="0.2">
      <c r="F133" s="11"/>
    </row>
    <row r="134" spans="6:6" x14ac:dyDescent="0.2">
      <c r="F134" s="11"/>
    </row>
    <row r="135" spans="6:6" x14ac:dyDescent="0.2">
      <c r="F135" s="11"/>
    </row>
    <row r="136" spans="6:6" x14ac:dyDescent="0.2">
      <c r="F136" s="11"/>
    </row>
    <row r="137" spans="6:6" x14ac:dyDescent="0.2">
      <c r="F137" s="11"/>
    </row>
    <row r="138" spans="6:6" x14ac:dyDescent="0.2">
      <c r="F138" s="11"/>
    </row>
    <row r="139" spans="6:6" x14ac:dyDescent="0.2">
      <c r="F139" s="11"/>
    </row>
    <row r="140" spans="6:6" x14ac:dyDescent="0.2">
      <c r="F140" s="11"/>
    </row>
    <row r="141" spans="6:6" x14ac:dyDescent="0.2">
      <c r="F141" s="11"/>
    </row>
    <row r="142" spans="6:6" x14ac:dyDescent="0.2">
      <c r="F142" s="11"/>
    </row>
    <row r="143" spans="6:6" x14ac:dyDescent="0.2">
      <c r="F143" s="11"/>
    </row>
    <row r="144" spans="6:6" x14ac:dyDescent="0.2">
      <c r="F144" s="11"/>
    </row>
    <row r="145" spans="6:6" x14ac:dyDescent="0.2">
      <c r="F145" s="11"/>
    </row>
    <row r="146" spans="6:6" x14ac:dyDescent="0.2">
      <c r="F146" s="11"/>
    </row>
    <row r="147" spans="6:6" x14ac:dyDescent="0.2">
      <c r="F147" s="11"/>
    </row>
    <row r="148" spans="6:6" x14ac:dyDescent="0.2">
      <c r="F148" s="11"/>
    </row>
    <row r="149" spans="6:6" x14ac:dyDescent="0.2">
      <c r="F149" s="11"/>
    </row>
    <row r="150" spans="6:6" x14ac:dyDescent="0.2">
      <c r="F150" s="11"/>
    </row>
    <row r="151" spans="6:6" x14ac:dyDescent="0.2">
      <c r="F151" s="11"/>
    </row>
    <row r="152" spans="6:6" x14ac:dyDescent="0.2">
      <c r="F152" s="11"/>
    </row>
    <row r="153" spans="6:6" x14ac:dyDescent="0.2">
      <c r="F153" s="11"/>
    </row>
    <row r="154" spans="6:6" x14ac:dyDescent="0.2">
      <c r="F154" s="11"/>
    </row>
    <row r="155" spans="6:6" x14ac:dyDescent="0.2">
      <c r="F155" s="11"/>
    </row>
    <row r="156" spans="6:6" x14ac:dyDescent="0.2">
      <c r="F156" s="11"/>
    </row>
    <row r="157" spans="6:6" x14ac:dyDescent="0.2">
      <c r="F157" s="11"/>
    </row>
    <row r="158" spans="6:6" x14ac:dyDescent="0.2">
      <c r="F158" s="11"/>
    </row>
    <row r="159" spans="6:6" x14ac:dyDescent="0.2">
      <c r="F159" s="11"/>
    </row>
    <row r="160" spans="6:6" x14ac:dyDescent="0.2">
      <c r="F160" s="11"/>
    </row>
    <row r="161" spans="6:6" x14ac:dyDescent="0.2">
      <c r="F161" s="11"/>
    </row>
    <row r="162" spans="6:6" x14ac:dyDescent="0.2">
      <c r="F162" s="11"/>
    </row>
    <row r="163" spans="6:6" x14ac:dyDescent="0.2">
      <c r="F163" s="11"/>
    </row>
    <row r="164" spans="6:6" x14ac:dyDescent="0.2">
      <c r="F164" s="11"/>
    </row>
    <row r="165" spans="6:6" x14ac:dyDescent="0.2">
      <c r="F165" s="11"/>
    </row>
    <row r="166" spans="6:6" x14ac:dyDescent="0.2">
      <c r="F166" s="11"/>
    </row>
    <row r="167" spans="6:6" x14ac:dyDescent="0.2">
      <c r="F167" s="11"/>
    </row>
    <row r="168" spans="6:6" x14ac:dyDescent="0.2">
      <c r="F168" s="11"/>
    </row>
    <row r="169" spans="6:6" x14ac:dyDescent="0.2">
      <c r="F169" s="11"/>
    </row>
    <row r="170" spans="6:6" x14ac:dyDescent="0.2">
      <c r="F170" s="11"/>
    </row>
    <row r="171" spans="6:6" x14ac:dyDescent="0.2">
      <c r="F171" s="11"/>
    </row>
    <row r="172" spans="6:6" x14ac:dyDescent="0.2">
      <c r="F172" s="11"/>
    </row>
    <row r="173" spans="6:6" x14ac:dyDescent="0.2">
      <c r="F173" s="11"/>
    </row>
    <row r="174" spans="6:6" x14ac:dyDescent="0.2">
      <c r="F174" s="11"/>
    </row>
    <row r="175" spans="6:6" x14ac:dyDescent="0.2">
      <c r="F175" s="11"/>
    </row>
    <row r="176" spans="6:6" x14ac:dyDescent="0.2">
      <c r="F176" s="11"/>
    </row>
    <row r="177" spans="6:6" x14ac:dyDescent="0.2">
      <c r="F177" s="11"/>
    </row>
    <row r="178" spans="6:6" x14ac:dyDescent="0.2">
      <c r="F178" s="11"/>
    </row>
    <row r="179" spans="6:6" x14ac:dyDescent="0.2">
      <c r="F179" s="11"/>
    </row>
    <row r="180" spans="6:6" x14ac:dyDescent="0.2">
      <c r="F180" s="11"/>
    </row>
    <row r="181" spans="6:6" x14ac:dyDescent="0.2">
      <c r="F181" s="11"/>
    </row>
    <row r="182" spans="6:6" x14ac:dyDescent="0.2">
      <c r="F182" s="11"/>
    </row>
    <row r="183" spans="6:6" x14ac:dyDescent="0.2">
      <c r="F183" s="11"/>
    </row>
    <row r="184" spans="6:6" x14ac:dyDescent="0.2">
      <c r="F184" s="11"/>
    </row>
    <row r="185" spans="6:6" x14ac:dyDescent="0.2">
      <c r="F185" s="11"/>
    </row>
    <row r="186" spans="6:6" x14ac:dyDescent="0.2">
      <c r="F186" s="11"/>
    </row>
    <row r="187" spans="6:6" x14ac:dyDescent="0.2">
      <c r="F187" s="11"/>
    </row>
    <row r="188" spans="6:6" x14ac:dyDescent="0.2">
      <c r="F188" s="11"/>
    </row>
    <row r="189" spans="6:6" x14ac:dyDescent="0.2">
      <c r="F189" s="11"/>
    </row>
    <row r="190" spans="6:6" x14ac:dyDescent="0.2">
      <c r="F190" s="11"/>
    </row>
    <row r="191" spans="6:6" x14ac:dyDescent="0.2">
      <c r="F191" s="11"/>
    </row>
    <row r="192" spans="6:6" x14ac:dyDescent="0.2">
      <c r="F192" s="11"/>
    </row>
    <row r="193" spans="6:6" x14ac:dyDescent="0.2">
      <c r="F193" s="11"/>
    </row>
    <row r="194" spans="6:6" x14ac:dyDescent="0.2">
      <c r="F194" s="11"/>
    </row>
    <row r="195" spans="6:6" x14ac:dyDescent="0.2">
      <c r="F195" s="11"/>
    </row>
    <row r="196" spans="6:6" x14ac:dyDescent="0.2">
      <c r="F196" s="11"/>
    </row>
    <row r="197" spans="6:6" x14ac:dyDescent="0.2">
      <c r="F197" s="11"/>
    </row>
    <row r="198" spans="6:6" x14ac:dyDescent="0.2">
      <c r="F198" s="11"/>
    </row>
    <row r="199" spans="6:6" x14ac:dyDescent="0.2">
      <c r="F199" s="11"/>
    </row>
    <row r="200" spans="6:6" x14ac:dyDescent="0.2">
      <c r="F200" s="11"/>
    </row>
    <row r="201" spans="6:6" x14ac:dyDescent="0.2">
      <c r="F201" s="11"/>
    </row>
    <row r="202" spans="6:6" x14ac:dyDescent="0.2">
      <c r="F202" s="11"/>
    </row>
    <row r="203" spans="6:6" x14ac:dyDescent="0.2">
      <c r="F203" s="11"/>
    </row>
    <row r="204" spans="6:6" x14ac:dyDescent="0.2">
      <c r="F204" s="11"/>
    </row>
    <row r="205" spans="6:6" x14ac:dyDescent="0.2">
      <c r="F205" s="11"/>
    </row>
    <row r="206" spans="6:6" x14ac:dyDescent="0.2">
      <c r="F206" s="11"/>
    </row>
    <row r="207" spans="6:6" x14ac:dyDescent="0.2">
      <c r="F207" s="11"/>
    </row>
    <row r="208" spans="6:6" x14ac:dyDescent="0.2">
      <c r="F208" s="11"/>
    </row>
    <row r="209" spans="6:6" x14ac:dyDescent="0.2">
      <c r="F209" s="11"/>
    </row>
    <row r="210" spans="6:6" x14ac:dyDescent="0.2">
      <c r="F210" s="11"/>
    </row>
    <row r="211" spans="6:6" x14ac:dyDescent="0.2">
      <c r="F211" s="11"/>
    </row>
    <row r="212" spans="6:6" x14ac:dyDescent="0.2">
      <c r="F212" s="11"/>
    </row>
    <row r="213" spans="6:6" x14ac:dyDescent="0.2">
      <c r="F213" s="11"/>
    </row>
    <row r="214" spans="6:6" x14ac:dyDescent="0.2">
      <c r="F214" s="11"/>
    </row>
    <row r="215" spans="6:6" x14ac:dyDescent="0.2">
      <c r="F215" s="11"/>
    </row>
    <row r="216" spans="6:6" x14ac:dyDescent="0.2">
      <c r="F216" s="11"/>
    </row>
    <row r="217" spans="6:6" x14ac:dyDescent="0.2">
      <c r="F217" s="11"/>
    </row>
    <row r="218" spans="6:6" x14ac:dyDescent="0.2">
      <c r="F218" s="11"/>
    </row>
    <row r="219" spans="6:6" x14ac:dyDescent="0.2">
      <c r="F219" s="11"/>
    </row>
    <row r="220" spans="6:6" x14ac:dyDescent="0.2">
      <c r="F220" s="11"/>
    </row>
    <row r="221" spans="6:6" x14ac:dyDescent="0.2">
      <c r="F221" s="11"/>
    </row>
    <row r="222" spans="6:6" x14ac:dyDescent="0.2">
      <c r="F222" s="11"/>
    </row>
    <row r="223" spans="6:6" x14ac:dyDescent="0.2">
      <c r="F223" s="11"/>
    </row>
    <row r="224" spans="6:6" x14ac:dyDescent="0.2">
      <c r="F224" s="11"/>
    </row>
    <row r="225" spans="6:6" x14ac:dyDescent="0.2">
      <c r="F225" s="11"/>
    </row>
    <row r="226" spans="6:6" x14ac:dyDescent="0.2">
      <c r="F226" s="11"/>
    </row>
    <row r="227" spans="6:6" x14ac:dyDescent="0.2">
      <c r="F227" s="11"/>
    </row>
    <row r="228" spans="6:6" x14ac:dyDescent="0.2">
      <c r="F228" s="11"/>
    </row>
    <row r="229" spans="6:6" x14ac:dyDescent="0.2">
      <c r="F229" s="11"/>
    </row>
    <row r="230" spans="6:6" x14ac:dyDescent="0.2">
      <c r="F230" s="11"/>
    </row>
    <row r="231" spans="6:6" x14ac:dyDescent="0.2">
      <c r="F231" s="11"/>
    </row>
    <row r="232" spans="6:6" x14ac:dyDescent="0.2">
      <c r="F232" s="11"/>
    </row>
    <row r="233" spans="6:6" x14ac:dyDescent="0.2">
      <c r="F233" s="11"/>
    </row>
    <row r="234" spans="6:6" x14ac:dyDescent="0.2">
      <c r="F234" s="11"/>
    </row>
    <row r="235" spans="6:6" x14ac:dyDescent="0.2">
      <c r="F235" s="11"/>
    </row>
    <row r="236" spans="6:6" x14ac:dyDescent="0.2">
      <c r="F236" s="11"/>
    </row>
    <row r="237" spans="6:6" x14ac:dyDescent="0.2">
      <c r="F237" s="11"/>
    </row>
    <row r="238" spans="6:6" x14ac:dyDescent="0.2">
      <c r="F238" s="11"/>
    </row>
    <row r="239" spans="6:6" x14ac:dyDescent="0.2">
      <c r="F239" s="11"/>
    </row>
    <row r="240" spans="6:6" x14ac:dyDescent="0.2">
      <c r="F240" s="11"/>
    </row>
    <row r="241" spans="6:6" x14ac:dyDescent="0.2">
      <c r="F241" s="11"/>
    </row>
    <row r="242" spans="6:6" x14ac:dyDescent="0.2">
      <c r="F242" s="11"/>
    </row>
    <row r="243" spans="6:6" x14ac:dyDescent="0.2">
      <c r="F243" s="11"/>
    </row>
    <row r="244" spans="6:6" x14ac:dyDescent="0.2">
      <c r="F244" s="11"/>
    </row>
    <row r="245" spans="6:6" x14ac:dyDescent="0.2">
      <c r="F245" s="11"/>
    </row>
    <row r="246" spans="6:6" x14ac:dyDescent="0.2">
      <c r="F246" s="11"/>
    </row>
    <row r="247" spans="6:6" x14ac:dyDescent="0.2">
      <c r="F247" s="11"/>
    </row>
    <row r="248" spans="6:6" x14ac:dyDescent="0.2">
      <c r="F248" s="11"/>
    </row>
    <row r="249" spans="6:6" x14ac:dyDescent="0.2">
      <c r="F249" s="11"/>
    </row>
    <row r="250" spans="6:6" x14ac:dyDescent="0.2">
      <c r="F250" s="11"/>
    </row>
    <row r="251" spans="6:6" x14ac:dyDescent="0.2">
      <c r="F251" s="11"/>
    </row>
    <row r="252" spans="6:6" x14ac:dyDescent="0.2">
      <c r="F252" s="11"/>
    </row>
    <row r="253" spans="6:6" x14ac:dyDescent="0.2">
      <c r="F253" s="11"/>
    </row>
    <row r="254" spans="6:6" x14ac:dyDescent="0.2">
      <c r="F254" s="11"/>
    </row>
  </sheetData>
  <mergeCells count="2">
    <mergeCell ref="A1:C1"/>
    <mergeCell ref="D1:F1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F24"/>
  <sheetViews>
    <sheetView topLeftCell="A15" workbookViewId="0">
      <selection activeCell="E24" sqref="E24"/>
    </sheetView>
  </sheetViews>
  <sheetFormatPr baseColWidth="10" defaultColWidth="9.1640625" defaultRowHeight="15" x14ac:dyDescent="0.2"/>
  <cols>
    <col min="1" max="1" width="25.5" style="7" bestFit="1" customWidth="1"/>
    <col min="2" max="2" width="10" style="7" bestFit="1" customWidth="1"/>
    <col min="3" max="3" width="32" style="7" bestFit="1" customWidth="1"/>
    <col min="4" max="4" width="12" style="7" bestFit="1" customWidth="1"/>
    <col min="5" max="5" width="14.5" style="7" bestFit="1" customWidth="1"/>
    <col min="6" max="6" width="12.5" style="7" customWidth="1"/>
    <col min="7" max="16384" width="9.1640625" style="7"/>
  </cols>
  <sheetData>
    <row r="1" spans="1:6" x14ac:dyDescent="0.2">
      <c r="A1" s="36" t="s">
        <v>1942</v>
      </c>
      <c r="B1" s="36"/>
      <c r="C1" s="36"/>
      <c r="D1" s="37" t="s">
        <v>1943</v>
      </c>
      <c r="E1" s="37"/>
      <c r="F1" s="37"/>
    </row>
    <row r="2" spans="1:6" x14ac:dyDescent="0.2">
      <c r="A2" s="9" t="s">
        <v>360</v>
      </c>
      <c r="B2" s="9" t="s">
        <v>0</v>
      </c>
      <c r="C2" s="9" t="s">
        <v>1</v>
      </c>
      <c r="D2" s="9" t="s">
        <v>2</v>
      </c>
      <c r="E2" s="9" t="s">
        <v>3</v>
      </c>
      <c r="F2" s="9" t="s">
        <v>366</v>
      </c>
    </row>
    <row r="3" spans="1:6" x14ac:dyDescent="0.2">
      <c r="A3" s="7" t="s">
        <v>1678</v>
      </c>
      <c r="B3" s="7">
        <v>581933053</v>
      </c>
      <c r="C3" s="7" t="s">
        <v>1088</v>
      </c>
      <c r="D3" s="7" t="s">
        <v>1677</v>
      </c>
      <c r="E3" s="7" t="s">
        <v>1087</v>
      </c>
      <c r="F3" s="2">
        <f>VLOOKUP(E3,'M10B Order'!B:G,6,FALSE)</f>
        <v>0</v>
      </c>
    </row>
    <row r="4" spans="1:6" x14ac:dyDescent="0.2">
      <c r="A4" s="7" t="s">
        <v>1678</v>
      </c>
      <c r="B4" s="7">
        <v>581933038</v>
      </c>
      <c r="C4" s="7" t="s">
        <v>1090</v>
      </c>
      <c r="D4" s="7">
        <v>81004033135</v>
      </c>
      <c r="E4" s="7" t="s">
        <v>1089</v>
      </c>
      <c r="F4" s="2">
        <f>VLOOKUP(E4,'M10B Order'!B:G,6,FALSE)</f>
        <v>0</v>
      </c>
    </row>
    <row r="5" spans="1:6" x14ac:dyDescent="0.2">
      <c r="A5" s="7" t="s">
        <v>1678</v>
      </c>
      <c r="B5" s="7">
        <v>581933050</v>
      </c>
      <c r="C5" s="7" t="s">
        <v>1092</v>
      </c>
      <c r="D5" s="7">
        <v>81004033136</v>
      </c>
      <c r="E5" s="7" t="s">
        <v>1091</v>
      </c>
      <c r="F5" s="2">
        <f>VLOOKUP(E5,'M10B Order'!B:G,6,FALSE)</f>
        <v>0</v>
      </c>
    </row>
    <row r="6" spans="1:6" x14ac:dyDescent="0.2">
      <c r="A6" s="7" t="s">
        <v>1678</v>
      </c>
      <c r="B6" s="7">
        <v>581933041</v>
      </c>
      <c r="C6" s="7" t="s">
        <v>1094</v>
      </c>
      <c r="D6" s="7">
        <v>81004033137</v>
      </c>
      <c r="E6" s="7" t="s">
        <v>1093</v>
      </c>
      <c r="F6" s="2">
        <f>VLOOKUP(E6,'M10B Order'!B:G,6,FALSE)</f>
        <v>0</v>
      </c>
    </row>
    <row r="7" spans="1:6" x14ac:dyDescent="0.2">
      <c r="A7" s="7" t="s">
        <v>1678</v>
      </c>
      <c r="B7" s="7">
        <v>581933044</v>
      </c>
      <c r="C7" s="7" t="s">
        <v>1096</v>
      </c>
      <c r="D7" s="7">
        <v>81004033138</v>
      </c>
      <c r="E7" s="7" t="s">
        <v>1095</v>
      </c>
      <c r="F7" s="2">
        <f>VLOOKUP(E7,'M10B Order'!B:G,6,FALSE)</f>
        <v>0</v>
      </c>
    </row>
    <row r="8" spans="1:6" x14ac:dyDescent="0.2">
      <c r="A8" s="7" t="s">
        <v>1678</v>
      </c>
      <c r="B8" s="7">
        <v>581933051</v>
      </c>
      <c r="C8" s="7" t="s">
        <v>1098</v>
      </c>
      <c r="D8" s="7">
        <v>81004033140</v>
      </c>
      <c r="E8" s="7" t="s">
        <v>1097</v>
      </c>
      <c r="F8" s="2">
        <f>VLOOKUP(E8,'M10B Order'!B:G,6,FALSE)</f>
        <v>0</v>
      </c>
    </row>
    <row r="9" spans="1:6" x14ac:dyDescent="0.2">
      <c r="A9" s="7" t="s">
        <v>1134</v>
      </c>
      <c r="B9" s="7">
        <v>579058148</v>
      </c>
      <c r="C9" s="7" t="s">
        <v>1136</v>
      </c>
      <c r="D9" s="7">
        <v>81000139522</v>
      </c>
      <c r="E9" s="7" t="s">
        <v>1135</v>
      </c>
      <c r="F9" s="2">
        <f>VLOOKUP(E9,'M10B Order'!B:G,6,FALSE)</f>
        <v>0</v>
      </c>
    </row>
    <row r="10" spans="1:6" x14ac:dyDescent="0.2">
      <c r="A10" s="7" t="s">
        <v>1134</v>
      </c>
      <c r="B10" s="7">
        <v>579058144</v>
      </c>
      <c r="C10" s="7" t="s">
        <v>1138</v>
      </c>
      <c r="D10" s="7">
        <v>81000139540</v>
      </c>
      <c r="E10" s="7" t="s">
        <v>1137</v>
      </c>
      <c r="F10" s="2">
        <f>VLOOKUP(E10,'M10B Order'!B:G,6,FALSE)</f>
        <v>0</v>
      </c>
    </row>
    <row r="11" spans="1:6" x14ac:dyDescent="0.2">
      <c r="A11" s="7" t="s">
        <v>1134</v>
      </c>
      <c r="B11" s="7">
        <v>579058184</v>
      </c>
      <c r="C11" s="7" t="s">
        <v>1140</v>
      </c>
      <c r="D11" s="7">
        <v>81000139541</v>
      </c>
      <c r="E11" s="7" t="s">
        <v>1139</v>
      </c>
      <c r="F11" s="2">
        <f>VLOOKUP(E11,'M10B Order'!B:G,6,FALSE)</f>
        <v>0</v>
      </c>
    </row>
    <row r="12" spans="1:6" x14ac:dyDescent="0.2">
      <c r="A12" s="7" t="s">
        <v>1134</v>
      </c>
      <c r="B12" s="7">
        <v>579058135</v>
      </c>
      <c r="C12" s="7" t="s">
        <v>1142</v>
      </c>
      <c r="D12" s="7">
        <v>81000139542</v>
      </c>
      <c r="E12" s="7" t="s">
        <v>1141</v>
      </c>
      <c r="F12" s="2">
        <f>VLOOKUP(E12,'M10B Order'!B:G,6,FALSE)</f>
        <v>0</v>
      </c>
    </row>
    <row r="13" spans="1:6" x14ac:dyDescent="0.2">
      <c r="A13" s="7" t="s">
        <v>1134</v>
      </c>
      <c r="B13" s="7">
        <v>579058147</v>
      </c>
      <c r="C13" s="7" t="s">
        <v>1144</v>
      </c>
      <c r="D13" s="7">
        <v>81000139515</v>
      </c>
      <c r="E13" s="7" t="s">
        <v>1143</v>
      </c>
      <c r="F13" s="2">
        <f>VLOOKUP(E13,'M10B Order'!B:G,6,FALSE)</f>
        <v>0</v>
      </c>
    </row>
    <row r="14" spans="1:6" x14ac:dyDescent="0.2">
      <c r="A14" s="7" t="s">
        <v>1134</v>
      </c>
      <c r="B14" s="7">
        <v>579058155</v>
      </c>
      <c r="C14" s="7" t="s">
        <v>1146</v>
      </c>
      <c r="D14" s="7">
        <v>81000139516</v>
      </c>
      <c r="E14" s="7" t="s">
        <v>1145</v>
      </c>
      <c r="F14" s="2">
        <f>VLOOKUP(E14,'M10B Order'!B:G,6,FALSE)</f>
        <v>0</v>
      </c>
    </row>
    <row r="15" spans="1:6" x14ac:dyDescent="0.2">
      <c r="A15" s="7" t="s">
        <v>1218</v>
      </c>
      <c r="B15" s="7">
        <v>579058032</v>
      </c>
      <c r="C15" s="7" t="s">
        <v>1220</v>
      </c>
      <c r="D15" s="7">
        <v>81000139605</v>
      </c>
      <c r="E15" s="7" t="s">
        <v>1219</v>
      </c>
      <c r="F15" s="2">
        <f>VLOOKUP(E15,'M10B Order'!B:G,6,FALSE)</f>
        <v>0</v>
      </c>
    </row>
    <row r="16" spans="1:6" x14ac:dyDescent="0.2">
      <c r="A16" s="7" t="s">
        <v>1218</v>
      </c>
      <c r="B16" s="7">
        <v>579057993</v>
      </c>
      <c r="C16" s="7" t="s">
        <v>1222</v>
      </c>
      <c r="D16" s="7">
        <v>81000139603</v>
      </c>
      <c r="E16" s="7" t="s">
        <v>1221</v>
      </c>
      <c r="F16" s="2">
        <f>VLOOKUP(E16,'M10B Order'!B:G,6,FALSE)</f>
        <v>0</v>
      </c>
    </row>
    <row r="17" spans="1:6" x14ac:dyDescent="0.2">
      <c r="A17" s="7" t="s">
        <v>1218</v>
      </c>
      <c r="B17" s="7">
        <v>579058001</v>
      </c>
      <c r="C17" s="7" t="s">
        <v>1224</v>
      </c>
      <c r="D17" s="7">
        <v>81000139604</v>
      </c>
      <c r="E17" s="7" t="s">
        <v>1223</v>
      </c>
      <c r="F17" s="2">
        <f>VLOOKUP(E17,'M10B Order'!B:G,6,FALSE)</f>
        <v>0</v>
      </c>
    </row>
    <row r="18" spans="1:6" x14ac:dyDescent="0.2">
      <c r="A18" s="7" t="s">
        <v>1218</v>
      </c>
      <c r="B18" s="7">
        <v>579058066</v>
      </c>
      <c r="C18" s="7" t="s">
        <v>1226</v>
      </c>
      <c r="D18" s="7">
        <v>81000139602</v>
      </c>
      <c r="E18" s="7" t="s">
        <v>1225</v>
      </c>
      <c r="F18" s="2">
        <f>VLOOKUP(E18,'M10B Order'!B:G,6,FALSE)</f>
        <v>0</v>
      </c>
    </row>
    <row r="19" spans="1:6" x14ac:dyDescent="0.2">
      <c r="A19" s="7" t="s">
        <v>1218</v>
      </c>
      <c r="B19" s="7">
        <v>579058043</v>
      </c>
      <c r="C19" s="7" t="s">
        <v>1228</v>
      </c>
      <c r="D19" s="7">
        <v>81000139616</v>
      </c>
      <c r="E19" s="7" t="s">
        <v>1227</v>
      </c>
      <c r="F19" s="2">
        <f>VLOOKUP(E19,'M10B Order'!B:G,6,FALSE)</f>
        <v>0</v>
      </c>
    </row>
    <row r="20" spans="1:6" x14ac:dyDescent="0.2">
      <c r="A20" s="7" t="s">
        <v>1218</v>
      </c>
      <c r="B20" s="7">
        <v>579058059</v>
      </c>
      <c r="C20" s="7" t="s">
        <v>1230</v>
      </c>
      <c r="D20" s="7">
        <v>81000139610</v>
      </c>
      <c r="E20" s="7" t="s">
        <v>1229</v>
      </c>
      <c r="F20" s="2">
        <f>VLOOKUP(E20,'M10B Order'!B:G,6,FALSE)</f>
        <v>0</v>
      </c>
    </row>
    <row r="21" spans="1:6" x14ac:dyDescent="0.2">
      <c r="A21" s="7" t="s">
        <v>1218</v>
      </c>
      <c r="B21" s="7">
        <v>579058061</v>
      </c>
      <c r="C21" s="7" t="s">
        <v>1232</v>
      </c>
      <c r="D21" s="7">
        <v>81000139607</v>
      </c>
      <c r="E21" s="7" t="s">
        <v>1231</v>
      </c>
      <c r="F21" s="2">
        <f>VLOOKUP(E21,'M10B Order'!B:G,6,FALSE)</f>
        <v>0</v>
      </c>
    </row>
    <row r="22" spans="1:6" x14ac:dyDescent="0.2">
      <c r="A22" s="7" t="s">
        <v>1218</v>
      </c>
      <c r="B22" s="7">
        <v>579058063</v>
      </c>
      <c r="C22" s="7" t="s">
        <v>1234</v>
      </c>
      <c r="D22" s="7">
        <v>81000139606</v>
      </c>
      <c r="E22" s="7" t="s">
        <v>1233</v>
      </c>
      <c r="F22" s="2">
        <f>VLOOKUP(E22,'M10B Order'!B:G,6,FALSE)</f>
        <v>0</v>
      </c>
    </row>
    <row r="23" spans="1:6" x14ac:dyDescent="0.2">
      <c r="A23" s="7" t="s">
        <v>1218</v>
      </c>
      <c r="B23" s="7">
        <v>579058078</v>
      </c>
      <c r="C23" s="7" t="s">
        <v>1236</v>
      </c>
      <c r="D23" s="7">
        <v>81000139613</v>
      </c>
      <c r="E23" s="7" t="s">
        <v>1235</v>
      </c>
      <c r="F23" s="2">
        <f>VLOOKUP(E23,'M10B Order'!B:G,6,FALSE)</f>
        <v>0</v>
      </c>
    </row>
    <row r="24" spans="1:6" x14ac:dyDescent="0.2">
      <c r="A24" s="7" t="s">
        <v>1218</v>
      </c>
      <c r="B24" s="7">
        <v>579058064</v>
      </c>
      <c r="C24" s="7" t="s">
        <v>1238</v>
      </c>
      <c r="D24" s="7">
        <v>81000139612</v>
      </c>
      <c r="E24" s="7" t="s">
        <v>1237</v>
      </c>
      <c r="F24" s="2">
        <f>VLOOKUP(E24,'M10B Order'!B:G,6,FALSE)</f>
        <v>0</v>
      </c>
    </row>
  </sheetData>
  <mergeCells count="2">
    <mergeCell ref="A1:C1"/>
    <mergeCell ref="D1:F1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54D49F-2130-4481-9913-E0628CD2EDB3}">
  <sheetPr codeName="Sheet9"/>
  <dimension ref="A1:F4"/>
  <sheetViews>
    <sheetView workbookViewId="0">
      <selection activeCell="E6" sqref="E6"/>
    </sheetView>
  </sheetViews>
  <sheetFormatPr baseColWidth="10" defaultColWidth="8.83203125" defaultRowHeight="15" x14ac:dyDescent="0.2"/>
  <cols>
    <col min="1" max="1" width="15.1640625" bestFit="1" customWidth="1"/>
    <col min="2" max="2" width="9.6640625" bestFit="1" customWidth="1"/>
    <col min="3" max="3" width="10" bestFit="1" customWidth="1"/>
    <col min="4" max="4" width="17.6640625" bestFit="1" customWidth="1"/>
    <col min="5" max="5" width="14.5" bestFit="1" customWidth="1"/>
  </cols>
  <sheetData>
    <row r="1" spans="1:6" s="7" customFormat="1" x14ac:dyDescent="0.2">
      <c r="A1" s="36" t="s">
        <v>1942</v>
      </c>
      <c r="B1" s="36"/>
      <c r="C1" s="36"/>
      <c r="D1" s="37" t="s">
        <v>1943</v>
      </c>
      <c r="E1" s="37"/>
      <c r="F1" s="37"/>
    </row>
    <row r="2" spans="1:6" s="7" customFormat="1" x14ac:dyDescent="0.2">
      <c r="A2" s="9" t="s">
        <v>360</v>
      </c>
      <c r="B2" s="9" t="s">
        <v>0</v>
      </c>
      <c r="C2" s="9" t="s">
        <v>1</v>
      </c>
      <c r="D2" s="9" t="s">
        <v>2</v>
      </c>
      <c r="E2" s="9" t="s">
        <v>3</v>
      </c>
      <c r="F2" s="9" t="s">
        <v>366</v>
      </c>
    </row>
    <row r="3" spans="1:6" x14ac:dyDescent="0.2">
      <c r="A3" t="s">
        <v>1687</v>
      </c>
      <c r="B3">
        <v>584323902</v>
      </c>
      <c r="C3" t="s">
        <v>1693</v>
      </c>
      <c r="D3">
        <v>81004033405</v>
      </c>
      <c r="E3" t="s">
        <v>1692</v>
      </c>
      <c r="F3">
        <f>VLOOKUP(E3,'M10B Order'!B:G,6,FALSE)</f>
        <v>0</v>
      </c>
    </row>
    <row r="4" spans="1:6" x14ac:dyDescent="0.2">
      <c r="A4" t="s">
        <v>1687</v>
      </c>
      <c r="B4">
        <v>584323914</v>
      </c>
      <c r="C4" t="s">
        <v>1695</v>
      </c>
      <c r="D4">
        <v>81004033406</v>
      </c>
      <c r="E4" t="s">
        <v>1694</v>
      </c>
      <c r="F4">
        <f>VLOOKUP(E4,'M10B Order'!B:G,6,FALSE)</f>
        <v>0</v>
      </c>
    </row>
  </sheetData>
  <mergeCells count="2">
    <mergeCell ref="A1:C1"/>
    <mergeCell ref="D1:F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M10B Order</vt:lpstr>
      <vt:lpstr>M10B</vt:lpstr>
      <vt:lpstr>中纺国际O</vt:lpstr>
      <vt:lpstr>中纺国际Z</vt:lpstr>
      <vt:lpstr>荟宁</vt:lpstr>
      <vt:lpstr>张家港沙印X</vt:lpstr>
      <vt:lpstr>张家港沙印G</vt:lpstr>
      <vt:lpstr>浙江百业</vt:lpstr>
      <vt:lpstr>MrRajan</vt:lpstr>
      <vt:lpstr>domestic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Leon</cp:lastModifiedBy>
  <dcterms:created xsi:type="dcterms:W3CDTF">2006-09-16T00:00:00Z</dcterms:created>
  <dcterms:modified xsi:type="dcterms:W3CDTF">2022-07-24T17:23:52Z</dcterms:modified>
</cp:coreProperties>
</file>